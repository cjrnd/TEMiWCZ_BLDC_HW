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Studia\2stp\3SEM\MOC_CZE\HW\TEMiWCZ_BLDC_HW\"/>
    </mc:Choice>
  </mc:AlternateContent>
  <xr:revisionPtr revIDLastSave="0" documentId="13_ncr:1_{874426F3-B499-475D-AE63-D202D934A0CF}" xr6:coauthVersionLast="47" xr6:coauthVersionMax="47" xr10:uidLastSave="{00000000-0000-0000-0000-000000000000}"/>
  <bookViews>
    <workbookView minimized="1" xWindow="6720" yWindow="6990" windowWidth="21600" windowHeight="11505" activeTab="2" xr2:uid="{00000000-000D-0000-FFFF-FFFF00000000}"/>
  </bookViews>
  <sheets>
    <sheet name="Arkusz1" sheetId="1" r:id="rId1"/>
    <sheet name="temp" sheetId="2" r:id="rId2"/>
    <sheet name="current meas" sheetId="3" r:id="rId3"/>
    <sheet name="buck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I13" i="3"/>
  <c r="I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12" i="3"/>
  <c r="G18" i="4"/>
  <c r="B19" i="3"/>
  <c r="B15" i="3"/>
  <c r="B17" i="3" s="1"/>
  <c r="B14" i="3"/>
  <c r="J32" i="2"/>
  <c r="I32" i="2"/>
  <c r="H32" i="2"/>
  <c r="H31" i="2"/>
  <c r="J31" i="2" s="1"/>
  <c r="H30" i="2"/>
  <c r="J30" i="2" s="1"/>
  <c r="K30" i="2" s="1"/>
  <c r="J29" i="2"/>
  <c r="I29" i="2"/>
  <c r="H29" i="2"/>
  <c r="H28" i="2"/>
  <c r="J28" i="2" s="1"/>
  <c r="B28" i="2"/>
  <c r="B29" i="2" s="1"/>
  <c r="H27" i="2"/>
  <c r="J27" i="2" s="1"/>
  <c r="H26" i="2"/>
  <c r="I26" i="2" s="1"/>
  <c r="B26" i="2"/>
  <c r="H25" i="2"/>
  <c r="J25" i="2" s="1"/>
  <c r="H24" i="2"/>
  <c r="I24" i="2" s="1"/>
  <c r="B24" i="2"/>
  <c r="H23" i="2"/>
  <c r="I23" i="2" s="1"/>
  <c r="B23" i="2"/>
  <c r="J22" i="2"/>
  <c r="H22" i="2"/>
  <c r="I22" i="2" s="1"/>
  <c r="H21" i="2"/>
  <c r="I21" i="2" s="1"/>
  <c r="H20" i="2"/>
  <c r="J20" i="2" s="1"/>
  <c r="H19" i="2"/>
  <c r="J19" i="2" s="1"/>
  <c r="K19" i="2" s="1"/>
  <c r="J18" i="2"/>
  <c r="H18" i="2"/>
  <c r="I18" i="2" s="1"/>
  <c r="H17" i="2"/>
  <c r="J17" i="2" s="1"/>
  <c r="H16" i="2"/>
  <c r="J16" i="2" s="1"/>
  <c r="H15" i="2"/>
  <c r="J15" i="2" s="1"/>
  <c r="K15" i="2" s="1"/>
  <c r="J14" i="2"/>
  <c r="H14" i="2"/>
  <c r="I14" i="2" s="1"/>
  <c r="H13" i="2"/>
  <c r="I13" i="2" s="1"/>
  <c r="H12" i="2"/>
  <c r="J12" i="2" s="1"/>
  <c r="K12" i="2" s="1"/>
  <c r="H11" i="2"/>
  <c r="J11" i="2" s="1"/>
  <c r="K11" i="2" s="1"/>
  <c r="J10" i="2"/>
  <c r="H10" i="2"/>
  <c r="I10" i="2" s="1"/>
  <c r="H9" i="2"/>
  <c r="J9" i="2" s="1"/>
  <c r="H8" i="2"/>
  <c r="J8" i="2" s="1"/>
  <c r="H7" i="2"/>
  <c r="J7" i="2" s="1"/>
  <c r="K7" i="2" s="1"/>
  <c r="J6" i="2"/>
  <c r="H6" i="2"/>
  <c r="I6" i="2" s="1"/>
  <c r="H5" i="2"/>
  <c r="J5" i="2" s="1"/>
  <c r="K5" i="2" s="1"/>
  <c r="H4" i="2"/>
  <c r="J4" i="2" s="1"/>
  <c r="K4" i="2" s="1"/>
  <c r="B4" i="2"/>
  <c r="B5" i="2" s="1"/>
  <c r="J3" i="2"/>
  <c r="I3" i="2"/>
  <c r="H3" i="2"/>
  <c r="H2" i="2"/>
  <c r="J2" i="2" s="1"/>
  <c r="P5" i="1"/>
  <c r="L16" i="1"/>
  <c r="I16" i="1"/>
  <c r="L7" i="1"/>
  <c r="P4" i="1"/>
  <c r="P10" i="1" s="1"/>
  <c r="P11" i="1" s="1"/>
  <c r="L9" i="1"/>
  <c r="L5" i="1"/>
  <c r="L4" i="1"/>
  <c r="C6" i="1"/>
  <c r="B20" i="3" l="1"/>
  <c r="K25" i="2"/>
  <c r="K3" i="2"/>
  <c r="K16" i="2"/>
  <c r="K17" i="2"/>
  <c r="K28" i="2"/>
  <c r="K18" i="2"/>
  <c r="K6" i="2"/>
  <c r="K20" i="2"/>
  <c r="K8" i="2"/>
  <c r="K9" i="2"/>
  <c r="K31" i="2"/>
  <c r="K22" i="2"/>
  <c r="K10" i="2"/>
  <c r="K29" i="2"/>
  <c r="K32" i="2"/>
  <c r="I30" i="2"/>
  <c r="I31" i="2"/>
  <c r="I28" i="2"/>
  <c r="I9" i="2"/>
  <c r="I17" i="2"/>
  <c r="J13" i="2"/>
  <c r="K13" i="2" s="1"/>
  <c r="J21" i="2"/>
  <c r="K21" i="2" s="1"/>
  <c r="I7" i="2"/>
  <c r="I15" i="2"/>
  <c r="I19" i="2"/>
  <c r="J26" i="2"/>
  <c r="K26" i="2" s="1"/>
  <c r="C4" i="2"/>
  <c r="J23" i="2"/>
  <c r="K23" i="2" s="1"/>
  <c r="I4" i="2"/>
  <c r="I16" i="2"/>
  <c r="J24" i="2"/>
  <c r="I2" i="2"/>
  <c r="I25" i="2"/>
  <c r="I11" i="2"/>
  <c r="I27" i="2"/>
  <c r="I8" i="2"/>
  <c r="I12" i="2"/>
  <c r="I20" i="2"/>
  <c r="I5" i="2"/>
  <c r="L10" i="1"/>
  <c r="K27" i="2" l="1"/>
  <c r="K24" i="2"/>
  <c r="K14" i="2"/>
  <c r="K34" i="2" s="1"/>
  <c r="C18" i="4"/>
  <c r="K11" i="4" s="1"/>
  <c r="K18" i="4" s="1"/>
</calcChain>
</file>

<file path=xl/sharedStrings.xml><?xml version="1.0" encoding="utf-8"?>
<sst xmlns="http://schemas.openxmlformats.org/spreadsheetml/2006/main" count="115" uniqueCount="88">
  <si>
    <t>Qg</t>
  </si>
  <si>
    <t>tr</t>
  </si>
  <si>
    <t>td_off</t>
  </si>
  <si>
    <t>IGBT</t>
  </si>
  <si>
    <t>tf</t>
  </si>
  <si>
    <t>td_on</t>
  </si>
  <si>
    <t>założenia</t>
  </si>
  <si>
    <t>VCC</t>
  </si>
  <si>
    <t>I</t>
  </si>
  <si>
    <t>V</t>
  </si>
  <si>
    <t>A</t>
  </si>
  <si>
    <t>F</t>
  </si>
  <si>
    <t>s</t>
  </si>
  <si>
    <t>Tmin</t>
  </si>
  <si>
    <t>fmax</t>
  </si>
  <si>
    <t>Hz</t>
  </si>
  <si>
    <t>Ig_max</t>
  </si>
  <si>
    <t>Ice_max</t>
  </si>
  <si>
    <t>Rce</t>
  </si>
  <si>
    <t>Ohm</t>
  </si>
  <si>
    <t>W</t>
  </si>
  <si>
    <t>Vge_max</t>
  </si>
  <si>
    <t>Rth</t>
  </si>
  <si>
    <t>K/W</t>
  </si>
  <si>
    <t>Tj</t>
  </si>
  <si>
    <t>Vce_sat</t>
  </si>
  <si>
    <t>P_cond_loss</t>
  </si>
  <si>
    <t>P_sw_loss</t>
  </si>
  <si>
    <t>f</t>
  </si>
  <si>
    <t>Ets</t>
  </si>
  <si>
    <t>J</t>
  </si>
  <si>
    <t>P_cond_frd</t>
  </si>
  <si>
    <t>P_sw_frd</t>
  </si>
  <si>
    <t>total_loss(6igbt)</t>
  </si>
  <si>
    <t>Pout</t>
  </si>
  <si>
    <t>eficiency</t>
  </si>
  <si>
    <t>r_gate_min</t>
  </si>
  <si>
    <t>gate driver</t>
  </si>
  <si>
    <t xml:space="preserve">DRV8301 </t>
  </si>
  <si>
    <t>Q</t>
  </si>
  <si>
    <t>trise</t>
  </si>
  <si>
    <t>Ig</t>
  </si>
  <si>
    <t>R1</t>
  </si>
  <si>
    <t>temp</t>
  </si>
  <si>
    <t>r</t>
  </si>
  <si>
    <t>kOhm</t>
  </si>
  <si>
    <t>uout</t>
  </si>
  <si>
    <t>dout</t>
  </si>
  <si>
    <t>Rt</t>
  </si>
  <si>
    <t>vcc</t>
  </si>
  <si>
    <t>i</t>
  </si>
  <si>
    <t>P</t>
  </si>
  <si>
    <t>beta</t>
  </si>
  <si>
    <t>t0</t>
  </si>
  <si>
    <t>temp ed</t>
  </si>
  <si>
    <t>umax</t>
  </si>
  <si>
    <t>gain</t>
  </si>
  <si>
    <t>min volt diff</t>
  </si>
  <si>
    <t>min i diff</t>
  </si>
  <si>
    <t>min dif</t>
  </si>
  <si>
    <t>https://www.ti.com/lit/an/slva477b/slva477b.pdf?ts=1742961983487&amp;ref_url=https%253A%252F%252Fwww.google.com%252F</t>
  </si>
  <si>
    <t>TI BUCK GUIDES</t>
  </si>
  <si>
    <t>https://www.ti.com/lit/ds/symlink/lmr51610.pdf?ts=1744201861273&amp;ref_url=https%253A%252F%252Fwww.ti.com%252Fproduct%252FLMR51610%253FkeyMatch%253Dlm51610%2526tisearch%253Duniversal_search</t>
  </si>
  <si>
    <t>https://www.mouser.pl/ProductDetail/Texas-Instruments/LMR51610YDBVR?qs=sGAEpiMZZMvAX9OfPh%252B2NSM3AxpIzmi00gYVKQJvqx%2F6GBd8VBMoTw%3D%3D</t>
  </si>
  <si>
    <t>LMR51610YDBVR</t>
  </si>
  <si>
    <t>I_OUT</t>
  </si>
  <si>
    <t>V_OUT</t>
  </si>
  <si>
    <t>V_IN</t>
  </si>
  <si>
    <t>L_MIN</t>
  </si>
  <si>
    <t>F_SW</t>
  </si>
  <si>
    <t>K_IND</t>
  </si>
  <si>
    <t>R_FBT</t>
  </si>
  <si>
    <t>V_REF</t>
  </si>
  <si>
    <t>R_FBB</t>
  </si>
  <si>
    <t>[H]</t>
  </si>
  <si>
    <t>[V]</t>
  </si>
  <si>
    <t>[Ohm]</t>
  </si>
  <si>
    <t>[A]</t>
  </si>
  <si>
    <t>[Hz]</t>
  </si>
  <si>
    <t>∆ iL</t>
  </si>
  <si>
    <t>L</t>
  </si>
  <si>
    <t>R_ENB</t>
  </si>
  <si>
    <t>R_ENT</t>
  </si>
  <si>
    <t>vso</t>
  </si>
  <si>
    <t>idiff</t>
  </si>
  <si>
    <t>vinoff</t>
  </si>
  <si>
    <t>imin</t>
  </si>
  <si>
    <t>offset_error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</si>
</sst>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000000_-;\-* #,##0.0000000000_-;_-* &quot;-&quot;??_-;_-@_-"/>
    <numFmt numFmtId="165" formatCode="_-* #,##0.00\ _z_ł_-;\-* #,##0.00\ _z_ł_-;_-* &quot;-&quot;??????????\ _z_ł_-;_-@_-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1" fontId="0" fillId="0" borderId="7" xfId="0" applyNumberFormat="1" applyBorder="1"/>
    <xf numFmtId="0" fontId="0" fillId="0" borderId="8" xfId="0" applyBorder="1"/>
    <xf numFmtId="11" fontId="0" fillId="0" borderId="2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1" fontId="0" fillId="0" borderId="10" xfId="0" applyNumberFormat="1" applyBorder="1"/>
    <xf numFmtId="9" fontId="0" fillId="0" borderId="0" xfId="1" applyFont="1"/>
    <xf numFmtId="0" fontId="0" fillId="0" borderId="7" xfId="0" applyBorder="1"/>
    <xf numFmtId="11" fontId="0" fillId="0" borderId="8" xfId="0" applyNumberFormat="1" applyBorder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3"/>
    <xf numFmtId="0" fontId="5" fillId="0" borderId="0" xfId="3" applyFont="1"/>
    <xf numFmtId="0" fontId="0" fillId="0" borderId="0" xfId="0" applyAlignment="1">
      <alignment horizontal="right"/>
    </xf>
    <xf numFmtId="0" fontId="3" fillId="0" borderId="12" xfId="0" applyFont="1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right"/>
    </xf>
    <xf numFmtId="164" fontId="0" fillId="0" borderId="12" xfId="2" applyNumberFormat="1" applyFont="1" applyBorder="1"/>
    <xf numFmtId="165" fontId="0" fillId="0" borderId="12" xfId="0" applyNumberFormat="1" applyBorder="1"/>
    <xf numFmtId="11" fontId="0" fillId="0" borderId="0" xfId="2" applyNumberFormat="1" applyFont="1"/>
    <xf numFmtId="166" fontId="0" fillId="0" borderId="0" xfId="0" applyNumberFormat="1"/>
  </cellXfs>
  <cellStyles count="4">
    <cellStyle name="Dziesiętny" xfId="2" builtinId="3"/>
    <cellStyle name="Hiperłącze" xfId="3" builtinId="8"/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[1]Arkusz1!$J$1</c:f>
              <c:strCache>
                <c:ptCount val="1"/>
                <c:pt idx="0">
                  <c:v>uout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[1]Arkusz1!$G$2:$G$32</c:f>
              <c:numCache>
                <c:formatCode>General</c:formatCode>
                <c:ptCount val="31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  <c:pt idx="13">
                  <c:v>45</c:v>
                </c:pt>
                <c:pt idx="14">
                  <c:v>50</c:v>
                </c:pt>
                <c:pt idx="15">
                  <c:v>55</c:v>
                </c:pt>
                <c:pt idx="16">
                  <c:v>60</c:v>
                </c:pt>
                <c:pt idx="17">
                  <c:v>65</c:v>
                </c:pt>
                <c:pt idx="18">
                  <c:v>70</c:v>
                </c:pt>
                <c:pt idx="19">
                  <c:v>75</c:v>
                </c:pt>
                <c:pt idx="20">
                  <c:v>80</c:v>
                </c:pt>
                <c:pt idx="21">
                  <c:v>85</c:v>
                </c:pt>
                <c:pt idx="22">
                  <c:v>90</c:v>
                </c:pt>
                <c:pt idx="23">
                  <c:v>95</c:v>
                </c:pt>
                <c:pt idx="24">
                  <c:v>100</c:v>
                </c:pt>
                <c:pt idx="25">
                  <c:v>105</c:v>
                </c:pt>
                <c:pt idx="26">
                  <c:v>110</c:v>
                </c:pt>
                <c:pt idx="27">
                  <c:v>115</c:v>
                </c:pt>
                <c:pt idx="28">
                  <c:v>120</c:v>
                </c:pt>
                <c:pt idx="29">
                  <c:v>125</c:v>
                </c:pt>
                <c:pt idx="30">
                  <c:v>130</c:v>
                </c:pt>
              </c:numCache>
            </c:numRef>
          </c:cat>
          <c:val>
            <c:numRef>
              <c:f>[1]Arkusz1!$J$2:$J$32</c:f>
              <c:numCache>
                <c:formatCode>General</c:formatCode>
                <c:ptCount val="31"/>
                <c:pt idx="0">
                  <c:v>3.2352384479134706</c:v>
                </c:pt>
                <c:pt idx="1">
                  <c:v>3.2128946372542524</c:v>
                </c:pt>
                <c:pt idx="2">
                  <c:v>3.1844137103615688</c:v>
                </c:pt>
                <c:pt idx="3">
                  <c:v>3.1486438299697053</c:v>
                </c:pt>
                <c:pt idx="4">
                  <c:v>3.1043930865505431</c:v>
                </c:pt>
                <c:pt idx="5">
                  <c:v>3.0504940831543346</c:v>
                </c:pt>
                <c:pt idx="6">
                  <c:v>2.9858885422966739</c:v>
                </c:pt>
                <c:pt idx="7">
                  <c:v>2.9097283274643</c:v>
                </c:pt>
                <c:pt idx="8">
                  <c:v>2.821484674233258</c:v>
                </c:pt>
                <c:pt idx="9">
                  <c:v>2.7210526315789472</c:v>
                </c:pt>
                <c:pt idx="10">
                  <c:v>2.6088341118192102</c:v>
                </c:pt>
                <c:pt idx="11">
                  <c:v>2.4857822012261335</c:v>
                </c:pt>
                <c:pt idx="12">
                  <c:v>2.3533928041709387</c:v>
                </c:pt>
                <c:pt idx="13">
                  <c:v>2.2136374729238422</c:v>
                </c:pt>
                <c:pt idx="14">
                  <c:v>2.0688419873731188</c:v>
                </c:pt>
                <c:pt idx="15">
                  <c:v>1.9215260518459123</c:v>
                </c:pt>
                <c:pt idx="16">
                  <c:v>1.7742271052871876</c:v>
                </c:pt>
                <c:pt idx="17">
                  <c:v>1.629333375578784</c:v>
                </c:pt>
                <c:pt idx="18">
                  <c:v>1.4889475674422539</c:v>
                </c:pt>
                <c:pt idx="19">
                  <c:v>1.3547945752429937</c:v>
                </c:pt>
                <c:pt idx="20">
                  <c:v>1.2281771204394902</c:v>
                </c:pt>
                <c:pt idx="21">
                  <c:v>1.1099749155794145</c:v>
                </c:pt>
                <c:pt idx="22">
                  <c:v>1.0006775400942014</c:v>
                </c:pt>
                <c:pt idx="23">
                  <c:v>0.90043908555385799</c:v>
                </c:pt>
                <c:pt idx="24">
                  <c:v>0.80914320318389032</c:v>
                </c:pt>
                <c:pt idx="25">
                  <c:v>0.72646941583618996</c:v>
                </c:pt>
                <c:pt idx="26">
                  <c:v>0.65195440459246712</c:v>
                </c:pt>
                <c:pt idx="27">
                  <c:v>0.58504469291222438</c:v>
                </c:pt>
                <c:pt idx="28">
                  <c:v>0.52513932143561037</c:v>
                </c:pt>
                <c:pt idx="29">
                  <c:v>0.47162261141513984</c:v>
                </c:pt>
                <c:pt idx="30">
                  <c:v>0.42388800956189304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7-431E-A556-EBDC17E6E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64800"/>
        <c:axId val="824066720"/>
      </c:lineChart>
      <c:catAx>
        <c:axId val="824064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</a:t>
                </a:r>
              </a:p>
            </c:rich>
          </c:tx>
          <c:layout>
            <c:manualLayout>
              <c:xMode val="edge"/>
              <c:yMode val="edge"/>
              <c:x val="0.49126100201330253"/>
              <c:y val="0.891490520206713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4066720"/>
        <c:crosses val="autoZero"/>
        <c:auto val="1"/>
        <c:lblAlgn val="ctr"/>
        <c:lblOffset val="100"/>
        <c:noMultiLvlLbl val="0"/>
      </c:catAx>
      <c:valAx>
        <c:axId val="8240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Uout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406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'current meas'!$F$11</c:f>
              <c:strCache>
                <c:ptCount val="1"/>
                <c:pt idx="0">
                  <c:v>vso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'current meas'!$E$12:$E$816</c:f>
              <c:numCache>
                <c:formatCode>General</c:formatCode>
                <c:ptCount val="805"/>
                <c:pt idx="0">
                  <c:v>-20</c:v>
                </c:pt>
                <c:pt idx="1">
                  <c:v>-19.95</c:v>
                </c:pt>
                <c:pt idx="2">
                  <c:v>-19.899999999999999</c:v>
                </c:pt>
                <c:pt idx="3">
                  <c:v>-19.850000000000001</c:v>
                </c:pt>
                <c:pt idx="4">
                  <c:v>-19.8</c:v>
                </c:pt>
                <c:pt idx="5">
                  <c:v>-19.75</c:v>
                </c:pt>
                <c:pt idx="6">
                  <c:v>-19.7</c:v>
                </c:pt>
                <c:pt idx="7">
                  <c:v>-19.649999999999999</c:v>
                </c:pt>
                <c:pt idx="8">
                  <c:v>-19.600000000000001</c:v>
                </c:pt>
                <c:pt idx="9">
                  <c:v>-19.55</c:v>
                </c:pt>
                <c:pt idx="10">
                  <c:v>-19.5</c:v>
                </c:pt>
                <c:pt idx="11">
                  <c:v>-19.45</c:v>
                </c:pt>
                <c:pt idx="12">
                  <c:v>-19.399999999999999</c:v>
                </c:pt>
                <c:pt idx="13">
                  <c:v>-19.350000000000001</c:v>
                </c:pt>
                <c:pt idx="14">
                  <c:v>-19.3</c:v>
                </c:pt>
                <c:pt idx="15">
                  <c:v>-19.25</c:v>
                </c:pt>
                <c:pt idx="16">
                  <c:v>-19.2</c:v>
                </c:pt>
                <c:pt idx="17">
                  <c:v>-19.149999999999999</c:v>
                </c:pt>
                <c:pt idx="18">
                  <c:v>-19.100000000000001</c:v>
                </c:pt>
                <c:pt idx="19">
                  <c:v>-19.05</c:v>
                </c:pt>
                <c:pt idx="20">
                  <c:v>-19</c:v>
                </c:pt>
                <c:pt idx="21">
                  <c:v>-18.95</c:v>
                </c:pt>
                <c:pt idx="22">
                  <c:v>-18.899999999999999</c:v>
                </c:pt>
                <c:pt idx="23">
                  <c:v>-18.850000000000001</c:v>
                </c:pt>
                <c:pt idx="24">
                  <c:v>-18.8</c:v>
                </c:pt>
                <c:pt idx="25">
                  <c:v>-18.75</c:v>
                </c:pt>
                <c:pt idx="26">
                  <c:v>-18.7</c:v>
                </c:pt>
                <c:pt idx="27">
                  <c:v>-18.649999999999999</c:v>
                </c:pt>
                <c:pt idx="28">
                  <c:v>-18.600000000000001</c:v>
                </c:pt>
                <c:pt idx="29">
                  <c:v>-18.55</c:v>
                </c:pt>
                <c:pt idx="30">
                  <c:v>-18.5</c:v>
                </c:pt>
                <c:pt idx="31">
                  <c:v>-18.45</c:v>
                </c:pt>
                <c:pt idx="32">
                  <c:v>-18.399999999999999</c:v>
                </c:pt>
                <c:pt idx="33">
                  <c:v>-18.350000000000001</c:v>
                </c:pt>
                <c:pt idx="34">
                  <c:v>-18.3</c:v>
                </c:pt>
                <c:pt idx="35">
                  <c:v>-18.25</c:v>
                </c:pt>
                <c:pt idx="36">
                  <c:v>-18.2</c:v>
                </c:pt>
                <c:pt idx="37">
                  <c:v>-18.149999999999999</c:v>
                </c:pt>
                <c:pt idx="38">
                  <c:v>-18.100000000000001</c:v>
                </c:pt>
                <c:pt idx="39">
                  <c:v>-18.05</c:v>
                </c:pt>
                <c:pt idx="40">
                  <c:v>-18</c:v>
                </c:pt>
                <c:pt idx="41">
                  <c:v>-17.95</c:v>
                </c:pt>
                <c:pt idx="42">
                  <c:v>-17.899999999999999</c:v>
                </c:pt>
                <c:pt idx="43">
                  <c:v>-17.850000000000001</c:v>
                </c:pt>
                <c:pt idx="44">
                  <c:v>-17.8</c:v>
                </c:pt>
                <c:pt idx="45">
                  <c:v>-17.75</c:v>
                </c:pt>
                <c:pt idx="46">
                  <c:v>-17.7</c:v>
                </c:pt>
                <c:pt idx="47">
                  <c:v>-17.649999999999999</c:v>
                </c:pt>
                <c:pt idx="48">
                  <c:v>-17.600000000000001</c:v>
                </c:pt>
                <c:pt idx="49">
                  <c:v>-17.55</c:v>
                </c:pt>
                <c:pt idx="50">
                  <c:v>-17.5</c:v>
                </c:pt>
                <c:pt idx="51">
                  <c:v>-17.45</c:v>
                </c:pt>
                <c:pt idx="52">
                  <c:v>-17.399999999999999</c:v>
                </c:pt>
                <c:pt idx="53">
                  <c:v>-17.350000000000001</c:v>
                </c:pt>
                <c:pt idx="54">
                  <c:v>-17.3</c:v>
                </c:pt>
                <c:pt idx="55">
                  <c:v>-17.25</c:v>
                </c:pt>
                <c:pt idx="56">
                  <c:v>-17.2</c:v>
                </c:pt>
                <c:pt idx="57">
                  <c:v>-17.149999999999999</c:v>
                </c:pt>
                <c:pt idx="58">
                  <c:v>-17.100000000000001</c:v>
                </c:pt>
                <c:pt idx="59">
                  <c:v>-17.05</c:v>
                </c:pt>
                <c:pt idx="60">
                  <c:v>-17</c:v>
                </c:pt>
                <c:pt idx="61">
                  <c:v>-16.95</c:v>
                </c:pt>
                <c:pt idx="62">
                  <c:v>-16.899999999999999</c:v>
                </c:pt>
                <c:pt idx="63">
                  <c:v>-16.850000000000001</c:v>
                </c:pt>
                <c:pt idx="64">
                  <c:v>-16.8</c:v>
                </c:pt>
                <c:pt idx="65">
                  <c:v>-16.75</c:v>
                </c:pt>
                <c:pt idx="66">
                  <c:v>-16.6999999999999</c:v>
                </c:pt>
                <c:pt idx="67">
                  <c:v>-16.649999999999899</c:v>
                </c:pt>
                <c:pt idx="68">
                  <c:v>-16.600000000000001</c:v>
                </c:pt>
                <c:pt idx="69">
                  <c:v>-16.55</c:v>
                </c:pt>
                <c:pt idx="70">
                  <c:v>-16.5</c:v>
                </c:pt>
                <c:pt idx="71">
                  <c:v>-16.4499999999999</c:v>
                </c:pt>
                <c:pt idx="72">
                  <c:v>-16.399999999999899</c:v>
                </c:pt>
                <c:pt idx="73">
                  <c:v>-16.350000000000001</c:v>
                </c:pt>
                <c:pt idx="74">
                  <c:v>-16.3</c:v>
                </c:pt>
                <c:pt idx="75">
                  <c:v>-16.25</c:v>
                </c:pt>
                <c:pt idx="76">
                  <c:v>-16.1999999999999</c:v>
                </c:pt>
                <c:pt idx="77">
                  <c:v>-16.149999999999899</c:v>
                </c:pt>
                <c:pt idx="78">
                  <c:v>-16.099999999999898</c:v>
                </c:pt>
                <c:pt idx="79">
                  <c:v>-16.049999999999901</c:v>
                </c:pt>
                <c:pt idx="80">
                  <c:v>-15.999999999999901</c:v>
                </c:pt>
                <c:pt idx="81">
                  <c:v>-15.9499999999999</c:v>
                </c:pt>
                <c:pt idx="82">
                  <c:v>-15.899999999999901</c:v>
                </c:pt>
                <c:pt idx="83">
                  <c:v>-15.8499999999999</c:v>
                </c:pt>
                <c:pt idx="84">
                  <c:v>-15.799999999999899</c:v>
                </c:pt>
                <c:pt idx="85">
                  <c:v>-15.749999999999901</c:v>
                </c:pt>
                <c:pt idx="86">
                  <c:v>-15.6999999999999</c:v>
                </c:pt>
                <c:pt idx="87">
                  <c:v>-15.649999999999901</c:v>
                </c:pt>
                <c:pt idx="88">
                  <c:v>-15.5999999999999</c:v>
                </c:pt>
                <c:pt idx="89">
                  <c:v>-15.549999999999899</c:v>
                </c:pt>
                <c:pt idx="90">
                  <c:v>-15.499999999999901</c:v>
                </c:pt>
                <c:pt idx="91">
                  <c:v>-15.4499999999999</c:v>
                </c:pt>
                <c:pt idx="92">
                  <c:v>-15.399999999999901</c:v>
                </c:pt>
                <c:pt idx="93">
                  <c:v>-15.3499999999999</c:v>
                </c:pt>
                <c:pt idx="94">
                  <c:v>-15.299999999999899</c:v>
                </c:pt>
                <c:pt idx="95">
                  <c:v>-15.249999999999901</c:v>
                </c:pt>
                <c:pt idx="96">
                  <c:v>-15.1999999999999</c:v>
                </c:pt>
                <c:pt idx="97">
                  <c:v>-15.149999999999901</c:v>
                </c:pt>
                <c:pt idx="98">
                  <c:v>-15.0999999999999</c:v>
                </c:pt>
                <c:pt idx="99">
                  <c:v>-15.049999999999899</c:v>
                </c:pt>
                <c:pt idx="100">
                  <c:v>-14.999999999999901</c:v>
                </c:pt>
                <c:pt idx="101">
                  <c:v>-14.9499999999999</c:v>
                </c:pt>
                <c:pt idx="102">
                  <c:v>-14.899999999999901</c:v>
                </c:pt>
                <c:pt idx="103">
                  <c:v>-14.8499999999999</c:v>
                </c:pt>
                <c:pt idx="104">
                  <c:v>-14.799999999999899</c:v>
                </c:pt>
                <c:pt idx="105">
                  <c:v>-14.749999999999901</c:v>
                </c:pt>
                <c:pt idx="106">
                  <c:v>-14.6999999999999</c:v>
                </c:pt>
                <c:pt idx="107">
                  <c:v>-14.649999999999901</c:v>
                </c:pt>
                <c:pt idx="108">
                  <c:v>-14.5999999999999</c:v>
                </c:pt>
                <c:pt idx="109">
                  <c:v>-14.549999999999899</c:v>
                </c:pt>
                <c:pt idx="110">
                  <c:v>-14.499999999999901</c:v>
                </c:pt>
                <c:pt idx="111">
                  <c:v>-14.4499999999999</c:v>
                </c:pt>
                <c:pt idx="112">
                  <c:v>-14.399999999999901</c:v>
                </c:pt>
                <c:pt idx="113">
                  <c:v>-14.3499999999999</c:v>
                </c:pt>
                <c:pt idx="114">
                  <c:v>-14.299999999999899</c:v>
                </c:pt>
                <c:pt idx="115">
                  <c:v>-14.249999999999901</c:v>
                </c:pt>
                <c:pt idx="116">
                  <c:v>-14.1999999999999</c:v>
                </c:pt>
                <c:pt idx="117">
                  <c:v>-14.149999999999901</c:v>
                </c:pt>
                <c:pt idx="118">
                  <c:v>-14.0999999999999</c:v>
                </c:pt>
                <c:pt idx="119">
                  <c:v>-14.049999999999899</c:v>
                </c:pt>
                <c:pt idx="120">
                  <c:v>-13.999999999999901</c:v>
                </c:pt>
                <c:pt idx="121">
                  <c:v>-13.9499999999999</c:v>
                </c:pt>
                <c:pt idx="122">
                  <c:v>-13.899999999999901</c:v>
                </c:pt>
                <c:pt idx="123">
                  <c:v>-13.8499999999999</c:v>
                </c:pt>
                <c:pt idx="124">
                  <c:v>-13.799999999999899</c:v>
                </c:pt>
                <c:pt idx="125">
                  <c:v>-13.749999999999901</c:v>
                </c:pt>
                <c:pt idx="126">
                  <c:v>-13.6999999999999</c:v>
                </c:pt>
                <c:pt idx="127">
                  <c:v>-13.649999999999901</c:v>
                </c:pt>
                <c:pt idx="128">
                  <c:v>-13.5999999999999</c:v>
                </c:pt>
                <c:pt idx="129">
                  <c:v>-13.549999999999899</c:v>
                </c:pt>
                <c:pt idx="130">
                  <c:v>-13.499999999999901</c:v>
                </c:pt>
                <c:pt idx="131">
                  <c:v>-13.4499999999999</c:v>
                </c:pt>
                <c:pt idx="132">
                  <c:v>-13.399999999999901</c:v>
                </c:pt>
                <c:pt idx="133">
                  <c:v>-13.3499999999999</c:v>
                </c:pt>
                <c:pt idx="134">
                  <c:v>-13.299999999999899</c:v>
                </c:pt>
                <c:pt idx="135">
                  <c:v>-13.249999999999901</c:v>
                </c:pt>
                <c:pt idx="136">
                  <c:v>-13.1999999999999</c:v>
                </c:pt>
                <c:pt idx="137">
                  <c:v>-13.149999999999901</c:v>
                </c:pt>
                <c:pt idx="138">
                  <c:v>-13.0999999999999</c:v>
                </c:pt>
                <c:pt idx="139">
                  <c:v>-13.049999999999899</c:v>
                </c:pt>
                <c:pt idx="140">
                  <c:v>-12.999999999999901</c:v>
                </c:pt>
                <c:pt idx="141">
                  <c:v>-12.9499999999999</c:v>
                </c:pt>
                <c:pt idx="142">
                  <c:v>-12.899999999999901</c:v>
                </c:pt>
                <c:pt idx="143">
                  <c:v>-12.8499999999999</c:v>
                </c:pt>
                <c:pt idx="144">
                  <c:v>-12.799999999999899</c:v>
                </c:pt>
                <c:pt idx="145">
                  <c:v>-12.749999999999901</c:v>
                </c:pt>
                <c:pt idx="146">
                  <c:v>-12.6999999999999</c:v>
                </c:pt>
                <c:pt idx="147">
                  <c:v>-12.649999999999901</c:v>
                </c:pt>
                <c:pt idx="148">
                  <c:v>-12.5999999999999</c:v>
                </c:pt>
                <c:pt idx="149">
                  <c:v>-12.549999999999899</c:v>
                </c:pt>
                <c:pt idx="150">
                  <c:v>-12.499999999999901</c:v>
                </c:pt>
                <c:pt idx="151">
                  <c:v>-12.4499999999999</c:v>
                </c:pt>
                <c:pt idx="152">
                  <c:v>-12.399999999999901</c:v>
                </c:pt>
                <c:pt idx="153">
                  <c:v>-12.3499999999999</c:v>
                </c:pt>
                <c:pt idx="154">
                  <c:v>-12.299999999999899</c:v>
                </c:pt>
                <c:pt idx="155">
                  <c:v>-12.249999999999901</c:v>
                </c:pt>
                <c:pt idx="156">
                  <c:v>-12.1999999999999</c:v>
                </c:pt>
                <c:pt idx="157">
                  <c:v>-12.149999999999901</c:v>
                </c:pt>
                <c:pt idx="158">
                  <c:v>-12.0999999999999</c:v>
                </c:pt>
                <c:pt idx="159">
                  <c:v>-12.049999999999899</c:v>
                </c:pt>
                <c:pt idx="160">
                  <c:v>-11.999999999999901</c:v>
                </c:pt>
                <c:pt idx="161">
                  <c:v>-11.9499999999999</c:v>
                </c:pt>
                <c:pt idx="162">
                  <c:v>-11.899999999999901</c:v>
                </c:pt>
                <c:pt idx="163">
                  <c:v>-11.8499999999999</c:v>
                </c:pt>
                <c:pt idx="164">
                  <c:v>-11.799999999999899</c:v>
                </c:pt>
                <c:pt idx="165">
                  <c:v>-11.749999999999901</c:v>
                </c:pt>
                <c:pt idx="166">
                  <c:v>-11.6999999999999</c:v>
                </c:pt>
                <c:pt idx="167">
                  <c:v>-11.649999999999901</c:v>
                </c:pt>
                <c:pt idx="168">
                  <c:v>-11.5999999999999</c:v>
                </c:pt>
                <c:pt idx="169">
                  <c:v>-11.549999999999899</c:v>
                </c:pt>
                <c:pt idx="170">
                  <c:v>-11.499999999999901</c:v>
                </c:pt>
                <c:pt idx="171">
                  <c:v>-11.4499999999999</c:v>
                </c:pt>
                <c:pt idx="172">
                  <c:v>-11.399999999999901</c:v>
                </c:pt>
                <c:pt idx="173">
                  <c:v>-11.3499999999999</c:v>
                </c:pt>
                <c:pt idx="174">
                  <c:v>-11.299999999999899</c:v>
                </c:pt>
                <c:pt idx="175">
                  <c:v>-11.249999999999901</c:v>
                </c:pt>
                <c:pt idx="176">
                  <c:v>-11.1999999999999</c:v>
                </c:pt>
                <c:pt idx="177">
                  <c:v>-11.149999999999901</c:v>
                </c:pt>
                <c:pt idx="178">
                  <c:v>-11.0999999999999</c:v>
                </c:pt>
                <c:pt idx="179">
                  <c:v>-11.049999999999899</c:v>
                </c:pt>
                <c:pt idx="180">
                  <c:v>-10.999999999999901</c:v>
                </c:pt>
                <c:pt idx="181">
                  <c:v>-10.9499999999999</c:v>
                </c:pt>
                <c:pt idx="182">
                  <c:v>-10.899999999999901</c:v>
                </c:pt>
                <c:pt idx="183">
                  <c:v>-10.8499999999999</c:v>
                </c:pt>
                <c:pt idx="184">
                  <c:v>-10.799999999999899</c:v>
                </c:pt>
                <c:pt idx="185">
                  <c:v>-10.749999999999901</c:v>
                </c:pt>
                <c:pt idx="186">
                  <c:v>-10.6999999999999</c:v>
                </c:pt>
                <c:pt idx="187">
                  <c:v>-10.649999999999901</c:v>
                </c:pt>
                <c:pt idx="188">
                  <c:v>-10.5999999999999</c:v>
                </c:pt>
                <c:pt idx="189">
                  <c:v>-10.549999999999899</c:v>
                </c:pt>
                <c:pt idx="190">
                  <c:v>-10.499999999999901</c:v>
                </c:pt>
                <c:pt idx="191">
                  <c:v>-10.4499999999999</c:v>
                </c:pt>
                <c:pt idx="192">
                  <c:v>-10.399999999999901</c:v>
                </c:pt>
                <c:pt idx="193">
                  <c:v>-10.3499999999999</c:v>
                </c:pt>
                <c:pt idx="194">
                  <c:v>-10.299999999999899</c:v>
                </c:pt>
                <c:pt idx="195">
                  <c:v>-10.249999999999901</c:v>
                </c:pt>
                <c:pt idx="196">
                  <c:v>-10.1999999999999</c:v>
                </c:pt>
                <c:pt idx="197">
                  <c:v>-10.149999999999901</c:v>
                </c:pt>
                <c:pt idx="198">
                  <c:v>-10.0999999999999</c:v>
                </c:pt>
                <c:pt idx="199">
                  <c:v>-10.049999999999899</c:v>
                </c:pt>
                <c:pt idx="200">
                  <c:v>-9.9999999999999005</c:v>
                </c:pt>
                <c:pt idx="201">
                  <c:v>-9.9499999999998998</c:v>
                </c:pt>
                <c:pt idx="202">
                  <c:v>-9.8999999999999009</c:v>
                </c:pt>
                <c:pt idx="203">
                  <c:v>-9.8499999999999002</c:v>
                </c:pt>
                <c:pt idx="204">
                  <c:v>-9.7999999999998995</c:v>
                </c:pt>
                <c:pt idx="205">
                  <c:v>-9.7499999999999005</c:v>
                </c:pt>
                <c:pt idx="206">
                  <c:v>-9.6999999999998998</c:v>
                </c:pt>
                <c:pt idx="207">
                  <c:v>-9.6499999999999009</c:v>
                </c:pt>
                <c:pt idx="208">
                  <c:v>-9.5999999999999002</c:v>
                </c:pt>
                <c:pt idx="209">
                  <c:v>-9.5499999999998995</c:v>
                </c:pt>
                <c:pt idx="210">
                  <c:v>-9.4999999999999005</c:v>
                </c:pt>
                <c:pt idx="211">
                  <c:v>-9.4499999999998998</c:v>
                </c:pt>
                <c:pt idx="212">
                  <c:v>-9.3999999999997996</c:v>
                </c:pt>
                <c:pt idx="213">
                  <c:v>-9.3499999999998007</c:v>
                </c:pt>
                <c:pt idx="214">
                  <c:v>-9.2999999999998</c:v>
                </c:pt>
                <c:pt idx="215">
                  <c:v>-9.2499999999997993</c:v>
                </c:pt>
                <c:pt idx="216">
                  <c:v>-9.1999999999998003</c:v>
                </c:pt>
                <c:pt idx="217">
                  <c:v>-9.1499999999997996</c:v>
                </c:pt>
                <c:pt idx="218">
                  <c:v>-9.0999999999998007</c:v>
                </c:pt>
                <c:pt idx="219">
                  <c:v>-9.0499999999998</c:v>
                </c:pt>
                <c:pt idx="220">
                  <c:v>-8.9999999999997993</c:v>
                </c:pt>
                <c:pt idx="221">
                  <c:v>-8.9499999999998003</c:v>
                </c:pt>
                <c:pt idx="222">
                  <c:v>-8.8999999999997996</c:v>
                </c:pt>
                <c:pt idx="223">
                  <c:v>-8.8499999999998007</c:v>
                </c:pt>
                <c:pt idx="224">
                  <c:v>-8.7999999999998</c:v>
                </c:pt>
                <c:pt idx="225">
                  <c:v>-8.7499999999997993</c:v>
                </c:pt>
                <c:pt idx="226">
                  <c:v>-8.6999999999998003</c:v>
                </c:pt>
                <c:pt idx="227">
                  <c:v>-8.6499999999997996</c:v>
                </c:pt>
                <c:pt idx="228">
                  <c:v>-8.5999999999998007</c:v>
                </c:pt>
                <c:pt idx="229">
                  <c:v>-8.5499999999998</c:v>
                </c:pt>
                <c:pt idx="230">
                  <c:v>-8.4999999999997993</c:v>
                </c:pt>
                <c:pt idx="231">
                  <c:v>-8.4499999999998003</c:v>
                </c:pt>
                <c:pt idx="232">
                  <c:v>-8.3999999999997996</c:v>
                </c:pt>
                <c:pt idx="233">
                  <c:v>-8.3499999999998007</c:v>
                </c:pt>
                <c:pt idx="234">
                  <c:v>-8.2999999999998</c:v>
                </c:pt>
                <c:pt idx="235">
                  <c:v>-8.2499999999997993</c:v>
                </c:pt>
                <c:pt idx="236">
                  <c:v>-8.1999999999998003</c:v>
                </c:pt>
                <c:pt idx="237">
                  <c:v>-8.1499999999997996</c:v>
                </c:pt>
                <c:pt idx="238">
                  <c:v>-8.0999999999998007</c:v>
                </c:pt>
                <c:pt idx="239">
                  <c:v>-8.0499999999998</c:v>
                </c:pt>
                <c:pt idx="240">
                  <c:v>-7.9999999999998002</c:v>
                </c:pt>
                <c:pt idx="241">
                  <c:v>-7.9499999999998003</c:v>
                </c:pt>
                <c:pt idx="242">
                  <c:v>-7.8999999999997996</c:v>
                </c:pt>
                <c:pt idx="243">
                  <c:v>-7.8499999999997998</c:v>
                </c:pt>
                <c:pt idx="244">
                  <c:v>-7.7999999999998</c:v>
                </c:pt>
                <c:pt idx="245">
                  <c:v>-7.7499999999998002</c:v>
                </c:pt>
                <c:pt idx="246">
                  <c:v>-7.6999999999998003</c:v>
                </c:pt>
                <c:pt idx="247">
                  <c:v>-7.6499999999997996</c:v>
                </c:pt>
                <c:pt idx="248">
                  <c:v>-7.5999999999997998</c:v>
                </c:pt>
                <c:pt idx="249">
                  <c:v>-7.5499999999998</c:v>
                </c:pt>
                <c:pt idx="250">
                  <c:v>-7.4999999999998002</c:v>
                </c:pt>
                <c:pt idx="251">
                  <c:v>-7.4499999999998003</c:v>
                </c:pt>
                <c:pt idx="252">
                  <c:v>-7.3999999999997996</c:v>
                </c:pt>
                <c:pt idx="253">
                  <c:v>-7.3499999999997998</c:v>
                </c:pt>
                <c:pt idx="254">
                  <c:v>-7.2999999999998</c:v>
                </c:pt>
                <c:pt idx="255">
                  <c:v>-7.2499999999998002</c:v>
                </c:pt>
                <c:pt idx="256">
                  <c:v>-7.1999999999998003</c:v>
                </c:pt>
                <c:pt idx="257">
                  <c:v>-7.1499999999997996</c:v>
                </c:pt>
                <c:pt idx="258">
                  <c:v>-7.0999999999997998</c:v>
                </c:pt>
                <c:pt idx="259">
                  <c:v>-7.0499999999998</c:v>
                </c:pt>
                <c:pt idx="260">
                  <c:v>-6.9999999999998002</c:v>
                </c:pt>
                <c:pt idx="261">
                  <c:v>-6.9499999999998003</c:v>
                </c:pt>
                <c:pt idx="262">
                  <c:v>-6.8999999999997996</c:v>
                </c:pt>
                <c:pt idx="263">
                  <c:v>-6.8499999999997998</c:v>
                </c:pt>
                <c:pt idx="264">
                  <c:v>-6.7999999999998</c:v>
                </c:pt>
                <c:pt idx="265">
                  <c:v>-6.7499999999998002</c:v>
                </c:pt>
                <c:pt idx="266">
                  <c:v>-6.6999999999998003</c:v>
                </c:pt>
                <c:pt idx="267">
                  <c:v>-6.6499999999997996</c:v>
                </c:pt>
                <c:pt idx="268">
                  <c:v>-6.5999999999997998</c:v>
                </c:pt>
                <c:pt idx="269">
                  <c:v>-6.5499999999998</c:v>
                </c:pt>
                <c:pt idx="270">
                  <c:v>-6.4999999999998002</c:v>
                </c:pt>
                <c:pt idx="271">
                  <c:v>-6.4499999999998003</c:v>
                </c:pt>
                <c:pt idx="272">
                  <c:v>-6.3999999999997996</c:v>
                </c:pt>
                <c:pt idx="273">
                  <c:v>-6.3499999999997998</c:v>
                </c:pt>
                <c:pt idx="274">
                  <c:v>-6.2999999999998</c:v>
                </c:pt>
                <c:pt idx="275">
                  <c:v>-6.2499999999998002</c:v>
                </c:pt>
                <c:pt idx="276">
                  <c:v>-6.1999999999998003</c:v>
                </c:pt>
                <c:pt idx="277">
                  <c:v>-6.1499999999997996</c:v>
                </c:pt>
                <c:pt idx="278">
                  <c:v>-6.0999999999997998</c:v>
                </c:pt>
                <c:pt idx="279">
                  <c:v>-6.0499999999998</c:v>
                </c:pt>
                <c:pt idx="280">
                  <c:v>-5.9999999999998002</c:v>
                </c:pt>
                <c:pt idx="281">
                  <c:v>-5.9499999999998003</c:v>
                </c:pt>
                <c:pt idx="282">
                  <c:v>-5.8999999999997996</c:v>
                </c:pt>
                <c:pt idx="283">
                  <c:v>-5.8499999999997998</c:v>
                </c:pt>
                <c:pt idx="284">
                  <c:v>-5.7999999999998</c:v>
                </c:pt>
                <c:pt idx="285">
                  <c:v>-5.7499999999998002</c:v>
                </c:pt>
                <c:pt idx="286">
                  <c:v>-5.6999999999998003</c:v>
                </c:pt>
                <c:pt idx="287">
                  <c:v>-5.6499999999997996</c:v>
                </c:pt>
                <c:pt idx="288">
                  <c:v>-5.5999999999997998</c:v>
                </c:pt>
                <c:pt idx="289">
                  <c:v>-5.5499999999998</c:v>
                </c:pt>
                <c:pt idx="290">
                  <c:v>-5.4999999999998002</c:v>
                </c:pt>
                <c:pt idx="291">
                  <c:v>-5.4499999999998003</c:v>
                </c:pt>
                <c:pt idx="292">
                  <c:v>-5.3999999999997996</c:v>
                </c:pt>
                <c:pt idx="293">
                  <c:v>-5.3499999999997998</c:v>
                </c:pt>
                <c:pt idx="294">
                  <c:v>-5.2999999999998</c:v>
                </c:pt>
                <c:pt idx="295">
                  <c:v>-5.2499999999998002</c:v>
                </c:pt>
                <c:pt idx="296">
                  <c:v>-5.1999999999998003</c:v>
                </c:pt>
                <c:pt idx="297">
                  <c:v>-5.1499999999997996</c:v>
                </c:pt>
                <c:pt idx="298">
                  <c:v>-5.0999999999997998</c:v>
                </c:pt>
                <c:pt idx="299">
                  <c:v>-5.0499999999998</c:v>
                </c:pt>
                <c:pt idx="300">
                  <c:v>-4.9999999999998002</c:v>
                </c:pt>
                <c:pt idx="301">
                  <c:v>-4.9499999999998003</c:v>
                </c:pt>
                <c:pt idx="302">
                  <c:v>-4.8999999999997996</c:v>
                </c:pt>
                <c:pt idx="303">
                  <c:v>-4.8499999999997998</c:v>
                </c:pt>
                <c:pt idx="304">
                  <c:v>-4.7999999999998</c:v>
                </c:pt>
                <c:pt idx="305">
                  <c:v>-4.7499999999998002</c:v>
                </c:pt>
                <c:pt idx="306">
                  <c:v>-4.6999999999998003</c:v>
                </c:pt>
                <c:pt idx="307">
                  <c:v>-4.6499999999997996</c:v>
                </c:pt>
                <c:pt idx="308">
                  <c:v>-4.5999999999997998</c:v>
                </c:pt>
                <c:pt idx="309">
                  <c:v>-4.5499999999998</c:v>
                </c:pt>
                <c:pt idx="310">
                  <c:v>-4.4999999999998002</c:v>
                </c:pt>
                <c:pt idx="311">
                  <c:v>-4.4499999999998003</c:v>
                </c:pt>
                <c:pt idx="312">
                  <c:v>-4.3999999999997996</c:v>
                </c:pt>
                <c:pt idx="313">
                  <c:v>-4.3499999999997998</c:v>
                </c:pt>
                <c:pt idx="314">
                  <c:v>-4.2999999999998</c:v>
                </c:pt>
                <c:pt idx="315">
                  <c:v>-4.2499999999998002</c:v>
                </c:pt>
                <c:pt idx="316">
                  <c:v>-4.1999999999998003</c:v>
                </c:pt>
                <c:pt idx="317">
                  <c:v>-4.1499999999997996</c:v>
                </c:pt>
                <c:pt idx="318">
                  <c:v>-4.0999999999997998</c:v>
                </c:pt>
                <c:pt idx="319">
                  <c:v>-4.0499999999998</c:v>
                </c:pt>
                <c:pt idx="320">
                  <c:v>-3.9999999999998002</c:v>
                </c:pt>
                <c:pt idx="321">
                  <c:v>-3.9499999999997999</c:v>
                </c:pt>
                <c:pt idx="322">
                  <c:v>-3.8999999999998001</c:v>
                </c:pt>
                <c:pt idx="323">
                  <c:v>-3.8499999999997998</c:v>
                </c:pt>
                <c:pt idx="324">
                  <c:v>-3.7999999999998</c:v>
                </c:pt>
                <c:pt idx="325">
                  <c:v>-3.7499999999998002</c:v>
                </c:pt>
                <c:pt idx="326">
                  <c:v>-3.6999999999997999</c:v>
                </c:pt>
                <c:pt idx="327">
                  <c:v>-3.6499999999998001</c:v>
                </c:pt>
                <c:pt idx="328">
                  <c:v>-3.5999999999997998</c:v>
                </c:pt>
                <c:pt idx="329">
                  <c:v>-3.5499999999998</c:v>
                </c:pt>
                <c:pt idx="330">
                  <c:v>-3.4999999999998002</c:v>
                </c:pt>
                <c:pt idx="331">
                  <c:v>-3.4499999999997999</c:v>
                </c:pt>
                <c:pt idx="332">
                  <c:v>-3.3999999999998001</c:v>
                </c:pt>
                <c:pt idx="333">
                  <c:v>-3.3499999999997998</c:v>
                </c:pt>
                <c:pt idx="334">
                  <c:v>-3.2999999999998</c:v>
                </c:pt>
                <c:pt idx="335">
                  <c:v>-3.2499999999998002</c:v>
                </c:pt>
                <c:pt idx="336">
                  <c:v>-3.1999999999997999</c:v>
                </c:pt>
                <c:pt idx="337">
                  <c:v>-3.1499999999998001</c:v>
                </c:pt>
                <c:pt idx="338">
                  <c:v>-3.0999999999997998</c:v>
                </c:pt>
                <c:pt idx="339">
                  <c:v>-3.0499999999998</c:v>
                </c:pt>
                <c:pt idx="340">
                  <c:v>-2.9999999999998002</c:v>
                </c:pt>
                <c:pt idx="341">
                  <c:v>-2.9499999999997999</c:v>
                </c:pt>
                <c:pt idx="342">
                  <c:v>-2.8999999999998001</c:v>
                </c:pt>
                <c:pt idx="343">
                  <c:v>-2.8499999999997998</c:v>
                </c:pt>
                <c:pt idx="344">
                  <c:v>-2.7999999999998</c:v>
                </c:pt>
                <c:pt idx="345">
                  <c:v>-2.7499999999998002</c:v>
                </c:pt>
                <c:pt idx="346">
                  <c:v>-2.6999999999997999</c:v>
                </c:pt>
                <c:pt idx="347">
                  <c:v>-2.6499999999998001</c:v>
                </c:pt>
                <c:pt idx="348">
                  <c:v>-2.5999999999997998</c:v>
                </c:pt>
                <c:pt idx="349">
                  <c:v>-2.5499999999998</c:v>
                </c:pt>
                <c:pt idx="350">
                  <c:v>-2.4999999999998002</c:v>
                </c:pt>
                <c:pt idx="351">
                  <c:v>-2.4499999999997999</c:v>
                </c:pt>
                <c:pt idx="352">
                  <c:v>-2.3999999999997002</c:v>
                </c:pt>
                <c:pt idx="353">
                  <c:v>-2.3499999999996999</c:v>
                </c:pt>
                <c:pt idx="354">
                  <c:v>-2.2999999999997001</c:v>
                </c:pt>
                <c:pt idx="355">
                  <c:v>-2.2499999999996998</c:v>
                </c:pt>
                <c:pt idx="356">
                  <c:v>-2.1999999999997</c:v>
                </c:pt>
                <c:pt idx="357">
                  <c:v>-2.1499999999997002</c:v>
                </c:pt>
                <c:pt idx="358">
                  <c:v>-2.0999999999996999</c:v>
                </c:pt>
                <c:pt idx="359">
                  <c:v>-2.0499999999997001</c:v>
                </c:pt>
                <c:pt idx="360">
                  <c:v>-1.9999999999997</c:v>
                </c:pt>
                <c:pt idx="361">
                  <c:v>-1.9499999999997</c:v>
                </c:pt>
                <c:pt idx="362">
                  <c:v>-1.8999999999996999</c:v>
                </c:pt>
                <c:pt idx="363">
                  <c:v>-1.8499999999997001</c:v>
                </c:pt>
                <c:pt idx="364">
                  <c:v>-1.7999999999997001</c:v>
                </c:pt>
                <c:pt idx="365">
                  <c:v>-1.7499999999997</c:v>
                </c:pt>
                <c:pt idx="366">
                  <c:v>-1.6999999999997</c:v>
                </c:pt>
                <c:pt idx="367">
                  <c:v>-1.6499999999996999</c:v>
                </c:pt>
                <c:pt idx="368">
                  <c:v>-1.5999999999997001</c:v>
                </c:pt>
                <c:pt idx="369">
                  <c:v>-1.5499999999997001</c:v>
                </c:pt>
                <c:pt idx="370">
                  <c:v>-1.4999999999997</c:v>
                </c:pt>
                <c:pt idx="371">
                  <c:v>-1.4499999999997</c:v>
                </c:pt>
                <c:pt idx="372">
                  <c:v>-1.3999999999996999</c:v>
                </c:pt>
                <c:pt idx="373">
                  <c:v>-1.3499999999997001</c:v>
                </c:pt>
                <c:pt idx="374">
                  <c:v>-1.2999999999997001</c:v>
                </c:pt>
                <c:pt idx="375">
                  <c:v>-1.2499999999997</c:v>
                </c:pt>
                <c:pt idx="376">
                  <c:v>-1.1999999999997</c:v>
                </c:pt>
                <c:pt idx="377">
                  <c:v>-1.1499999999996999</c:v>
                </c:pt>
                <c:pt idx="378">
                  <c:v>-1.0999999999997001</c:v>
                </c:pt>
                <c:pt idx="379">
                  <c:v>-1.0499999999997001</c:v>
                </c:pt>
                <c:pt idx="380">
                  <c:v>-0.99999999999970202</c:v>
                </c:pt>
                <c:pt idx="381">
                  <c:v>-0.94999999999970097</c:v>
                </c:pt>
                <c:pt idx="382">
                  <c:v>-0.89999999999970004</c:v>
                </c:pt>
                <c:pt idx="383">
                  <c:v>-0.849999999999699</c:v>
                </c:pt>
                <c:pt idx="384">
                  <c:v>-0.79999999999969895</c:v>
                </c:pt>
                <c:pt idx="385">
                  <c:v>-0.74999999999970202</c:v>
                </c:pt>
                <c:pt idx="386">
                  <c:v>-0.69999999999970097</c:v>
                </c:pt>
                <c:pt idx="387">
                  <c:v>-0.64999999999970004</c:v>
                </c:pt>
                <c:pt idx="388">
                  <c:v>-0.599999999999699</c:v>
                </c:pt>
                <c:pt idx="389">
                  <c:v>-0.54999999999969895</c:v>
                </c:pt>
                <c:pt idx="390">
                  <c:v>-0.49999999999970202</c:v>
                </c:pt>
                <c:pt idx="391">
                  <c:v>-0.44999999999970097</c:v>
                </c:pt>
                <c:pt idx="392">
                  <c:v>-0.39999999999969998</c:v>
                </c:pt>
                <c:pt idx="393">
                  <c:v>-0.349999999999699</c:v>
                </c:pt>
                <c:pt idx="394">
                  <c:v>-0.29999999999969901</c:v>
                </c:pt>
                <c:pt idx="395">
                  <c:v>-0.24999999999970199</c:v>
                </c:pt>
                <c:pt idx="396">
                  <c:v>-0.199999999999701</c:v>
                </c:pt>
                <c:pt idx="397">
                  <c:v>-0.14999999999970001</c:v>
                </c:pt>
                <c:pt idx="398">
                  <c:v>-9.9999999999699399E-2</c:v>
                </c:pt>
                <c:pt idx="399">
                  <c:v>-4.9999999999698702E-2</c:v>
                </c:pt>
                <c:pt idx="400">
                  <c:v>2.9842794901924198E-13</c:v>
                </c:pt>
                <c:pt idx="401">
                  <c:v>5.0000000000299097E-2</c:v>
                </c:pt>
                <c:pt idx="402">
                  <c:v>0.1000000000003</c:v>
                </c:pt>
                <c:pt idx="403">
                  <c:v>0.150000000000301</c:v>
                </c:pt>
                <c:pt idx="404">
                  <c:v>0.20000000000030099</c:v>
                </c:pt>
                <c:pt idx="405">
                  <c:v>0.25000000000029798</c:v>
                </c:pt>
                <c:pt idx="406">
                  <c:v>0.30000000000029903</c:v>
                </c:pt>
                <c:pt idx="407">
                  <c:v>0.35000000000030002</c:v>
                </c:pt>
                <c:pt idx="408">
                  <c:v>0.400000000000301</c:v>
                </c:pt>
                <c:pt idx="409">
                  <c:v>0.45000000000030099</c:v>
                </c:pt>
                <c:pt idx="410">
                  <c:v>0.50000000000029798</c:v>
                </c:pt>
                <c:pt idx="411">
                  <c:v>0.55000000000029903</c:v>
                </c:pt>
                <c:pt idx="412">
                  <c:v>0.60000000000029996</c:v>
                </c:pt>
                <c:pt idx="413">
                  <c:v>0.650000000000301</c:v>
                </c:pt>
                <c:pt idx="414">
                  <c:v>0.70000000000030105</c:v>
                </c:pt>
                <c:pt idx="415">
                  <c:v>0.75000000000029798</c:v>
                </c:pt>
                <c:pt idx="416">
                  <c:v>0.80000000000029903</c:v>
                </c:pt>
                <c:pt idx="417">
                  <c:v>0.85000000000029996</c:v>
                </c:pt>
                <c:pt idx="418">
                  <c:v>0.900000000000301</c:v>
                </c:pt>
                <c:pt idx="419">
                  <c:v>0.95000000000030105</c:v>
                </c:pt>
                <c:pt idx="420">
                  <c:v>1.0000000000003</c:v>
                </c:pt>
                <c:pt idx="421">
                  <c:v>1.0500000000003</c:v>
                </c:pt>
                <c:pt idx="422">
                  <c:v>1.1000000000003001</c:v>
                </c:pt>
                <c:pt idx="423">
                  <c:v>1.1500000000002999</c:v>
                </c:pt>
                <c:pt idx="424">
                  <c:v>1.2000000000002999</c:v>
                </c:pt>
                <c:pt idx="425">
                  <c:v>1.2500000000003</c:v>
                </c:pt>
                <c:pt idx="426">
                  <c:v>1.3000000000003</c:v>
                </c:pt>
                <c:pt idx="427">
                  <c:v>1.3500000000003001</c:v>
                </c:pt>
                <c:pt idx="428">
                  <c:v>1.4000000000002999</c:v>
                </c:pt>
                <c:pt idx="429">
                  <c:v>1.4500000000002999</c:v>
                </c:pt>
                <c:pt idx="430">
                  <c:v>1.5000000000003</c:v>
                </c:pt>
                <c:pt idx="431">
                  <c:v>1.5500000000003</c:v>
                </c:pt>
                <c:pt idx="432">
                  <c:v>1.6000000000003001</c:v>
                </c:pt>
                <c:pt idx="433">
                  <c:v>1.6500000000002999</c:v>
                </c:pt>
                <c:pt idx="434">
                  <c:v>1.7000000000002999</c:v>
                </c:pt>
                <c:pt idx="435">
                  <c:v>1.7500000000003</c:v>
                </c:pt>
                <c:pt idx="436">
                  <c:v>1.8000000000003</c:v>
                </c:pt>
                <c:pt idx="437">
                  <c:v>1.8500000000003001</c:v>
                </c:pt>
                <c:pt idx="438">
                  <c:v>1.9000000000002999</c:v>
                </c:pt>
                <c:pt idx="439">
                  <c:v>1.9500000000002999</c:v>
                </c:pt>
                <c:pt idx="440">
                  <c:v>2.0000000000003002</c:v>
                </c:pt>
                <c:pt idx="441">
                  <c:v>2.0500000000003</c:v>
                </c:pt>
                <c:pt idx="442">
                  <c:v>2.1000000000002998</c:v>
                </c:pt>
                <c:pt idx="443">
                  <c:v>2.1500000000003001</c:v>
                </c:pt>
                <c:pt idx="444">
                  <c:v>2.2000000000002999</c:v>
                </c:pt>
                <c:pt idx="445">
                  <c:v>2.2500000000003002</c:v>
                </c:pt>
                <c:pt idx="446">
                  <c:v>2.3000000000003</c:v>
                </c:pt>
                <c:pt idx="447">
                  <c:v>2.3500000000002998</c:v>
                </c:pt>
                <c:pt idx="448">
                  <c:v>2.4000000000003001</c:v>
                </c:pt>
                <c:pt idx="449">
                  <c:v>2.4500000000002999</c:v>
                </c:pt>
                <c:pt idx="450">
                  <c:v>2.5000000000003002</c:v>
                </c:pt>
                <c:pt idx="451">
                  <c:v>2.5500000000003</c:v>
                </c:pt>
                <c:pt idx="452">
                  <c:v>2.6000000000002998</c:v>
                </c:pt>
                <c:pt idx="453">
                  <c:v>2.6500000000003001</c:v>
                </c:pt>
                <c:pt idx="454">
                  <c:v>2.7000000000002999</c:v>
                </c:pt>
                <c:pt idx="455">
                  <c:v>2.7500000000003002</c:v>
                </c:pt>
                <c:pt idx="456">
                  <c:v>2.8000000000003</c:v>
                </c:pt>
                <c:pt idx="457">
                  <c:v>2.8500000000002998</c:v>
                </c:pt>
                <c:pt idx="458">
                  <c:v>2.9000000000003001</c:v>
                </c:pt>
                <c:pt idx="459">
                  <c:v>2.9500000000002999</c:v>
                </c:pt>
                <c:pt idx="460">
                  <c:v>3.0000000000003002</c:v>
                </c:pt>
                <c:pt idx="461">
                  <c:v>3.0500000000003</c:v>
                </c:pt>
                <c:pt idx="462">
                  <c:v>3.1000000000002998</c:v>
                </c:pt>
                <c:pt idx="463">
                  <c:v>3.1500000000003001</c:v>
                </c:pt>
                <c:pt idx="464">
                  <c:v>3.2000000000002999</c:v>
                </c:pt>
                <c:pt idx="465">
                  <c:v>3.2500000000003002</c:v>
                </c:pt>
                <c:pt idx="466">
                  <c:v>3.3000000000003</c:v>
                </c:pt>
                <c:pt idx="467">
                  <c:v>3.3500000000002998</c:v>
                </c:pt>
                <c:pt idx="468">
                  <c:v>3.4000000000003001</c:v>
                </c:pt>
                <c:pt idx="469">
                  <c:v>3.4500000000002999</c:v>
                </c:pt>
                <c:pt idx="470">
                  <c:v>3.5000000000003002</c:v>
                </c:pt>
                <c:pt idx="471">
                  <c:v>3.5500000000003</c:v>
                </c:pt>
                <c:pt idx="472">
                  <c:v>3.6000000000002998</c:v>
                </c:pt>
                <c:pt idx="473">
                  <c:v>3.6500000000003001</c:v>
                </c:pt>
                <c:pt idx="474">
                  <c:v>3.7000000000002999</c:v>
                </c:pt>
                <c:pt idx="475">
                  <c:v>3.7500000000003002</c:v>
                </c:pt>
                <c:pt idx="476">
                  <c:v>3.8000000000003</c:v>
                </c:pt>
                <c:pt idx="477">
                  <c:v>3.8500000000002998</c:v>
                </c:pt>
                <c:pt idx="478">
                  <c:v>3.9000000000003001</c:v>
                </c:pt>
                <c:pt idx="479">
                  <c:v>3.9500000000002999</c:v>
                </c:pt>
                <c:pt idx="480">
                  <c:v>4.0000000000003002</c:v>
                </c:pt>
                <c:pt idx="481">
                  <c:v>4.0500000000003</c:v>
                </c:pt>
                <c:pt idx="482">
                  <c:v>4.1000000000002998</c:v>
                </c:pt>
                <c:pt idx="483">
                  <c:v>4.1500000000002997</c:v>
                </c:pt>
                <c:pt idx="484">
                  <c:v>4.2000000000003004</c:v>
                </c:pt>
                <c:pt idx="485">
                  <c:v>4.2500000000003002</c:v>
                </c:pt>
                <c:pt idx="486">
                  <c:v>4.3000000000003</c:v>
                </c:pt>
                <c:pt idx="487">
                  <c:v>4.3500000000002998</c:v>
                </c:pt>
                <c:pt idx="488">
                  <c:v>4.4000000000002997</c:v>
                </c:pt>
                <c:pt idx="489">
                  <c:v>4.4500000000003004</c:v>
                </c:pt>
                <c:pt idx="490">
                  <c:v>4.5000000000003002</c:v>
                </c:pt>
                <c:pt idx="491">
                  <c:v>4.5500000000003</c:v>
                </c:pt>
                <c:pt idx="492">
                  <c:v>4.6000000000002998</c:v>
                </c:pt>
                <c:pt idx="493">
                  <c:v>4.6500000000004</c:v>
                </c:pt>
                <c:pt idx="494">
                  <c:v>4.7000000000003999</c:v>
                </c:pt>
                <c:pt idx="495">
                  <c:v>4.7500000000003997</c:v>
                </c:pt>
                <c:pt idx="496">
                  <c:v>4.8000000000004004</c:v>
                </c:pt>
                <c:pt idx="497">
                  <c:v>4.8500000000004002</c:v>
                </c:pt>
                <c:pt idx="498">
                  <c:v>4.9000000000004</c:v>
                </c:pt>
                <c:pt idx="499">
                  <c:v>4.9500000000003999</c:v>
                </c:pt>
                <c:pt idx="500">
                  <c:v>5.0000000000003997</c:v>
                </c:pt>
                <c:pt idx="501">
                  <c:v>5.0500000000004004</c:v>
                </c:pt>
                <c:pt idx="502">
                  <c:v>5.1000000000004002</c:v>
                </c:pt>
                <c:pt idx="503">
                  <c:v>5.1500000000004</c:v>
                </c:pt>
                <c:pt idx="504">
                  <c:v>5.2000000000003999</c:v>
                </c:pt>
                <c:pt idx="505">
                  <c:v>5.2500000000003997</c:v>
                </c:pt>
                <c:pt idx="506">
                  <c:v>5.3000000000004004</c:v>
                </c:pt>
                <c:pt idx="507">
                  <c:v>5.3500000000004002</c:v>
                </c:pt>
                <c:pt idx="508">
                  <c:v>5.4000000000004</c:v>
                </c:pt>
                <c:pt idx="509">
                  <c:v>5.4500000000003999</c:v>
                </c:pt>
                <c:pt idx="510">
                  <c:v>5.5000000000003997</c:v>
                </c:pt>
                <c:pt idx="511">
                  <c:v>5.5500000000004004</c:v>
                </c:pt>
                <c:pt idx="512">
                  <c:v>5.6000000000004002</c:v>
                </c:pt>
                <c:pt idx="513">
                  <c:v>5.6500000000004</c:v>
                </c:pt>
                <c:pt idx="514">
                  <c:v>5.7000000000003999</c:v>
                </c:pt>
                <c:pt idx="515">
                  <c:v>5.7500000000003997</c:v>
                </c:pt>
                <c:pt idx="516">
                  <c:v>5.8000000000004004</c:v>
                </c:pt>
                <c:pt idx="517">
                  <c:v>5.8500000000004002</c:v>
                </c:pt>
                <c:pt idx="518">
                  <c:v>5.9000000000004</c:v>
                </c:pt>
                <c:pt idx="519">
                  <c:v>5.9500000000003999</c:v>
                </c:pt>
                <c:pt idx="520">
                  <c:v>6.0000000000003997</c:v>
                </c:pt>
                <c:pt idx="521">
                  <c:v>6.0500000000004004</c:v>
                </c:pt>
                <c:pt idx="522">
                  <c:v>6.1000000000004002</c:v>
                </c:pt>
                <c:pt idx="523">
                  <c:v>6.1500000000004</c:v>
                </c:pt>
                <c:pt idx="524">
                  <c:v>6.2000000000003999</c:v>
                </c:pt>
                <c:pt idx="525">
                  <c:v>6.2500000000003997</c:v>
                </c:pt>
                <c:pt idx="526">
                  <c:v>6.3000000000004004</c:v>
                </c:pt>
                <c:pt idx="527">
                  <c:v>6.3500000000004002</c:v>
                </c:pt>
                <c:pt idx="528">
                  <c:v>6.4000000000004</c:v>
                </c:pt>
                <c:pt idx="529">
                  <c:v>6.4500000000003999</c:v>
                </c:pt>
                <c:pt idx="530">
                  <c:v>6.5000000000003997</c:v>
                </c:pt>
                <c:pt idx="531">
                  <c:v>6.5500000000004004</c:v>
                </c:pt>
                <c:pt idx="532">
                  <c:v>6.6000000000004002</c:v>
                </c:pt>
                <c:pt idx="533">
                  <c:v>6.6500000000004</c:v>
                </c:pt>
                <c:pt idx="534">
                  <c:v>6.7000000000003999</c:v>
                </c:pt>
                <c:pt idx="535">
                  <c:v>6.7500000000003997</c:v>
                </c:pt>
                <c:pt idx="536">
                  <c:v>6.8000000000004004</c:v>
                </c:pt>
                <c:pt idx="537">
                  <c:v>6.8500000000004002</c:v>
                </c:pt>
                <c:pt idx="538">
                  <c:v>6.9000000000004</c:v>
                </c:pt>
                <c:pt idx="539">
                  <c:v>6.9500000000003999</c:v>
                </c:pt>
                <c:pt idx="540">
                  <c:v>7.0000000000003997</c:v>
                </c:pt>
                <c:pt idx="541">
                  <c:v>7.0500000000004004</c:v>
                </c:pt>
                <c:pt idx="542">
                  <c:v>7.1000000000004002</c:v>
                </c:pt>
                <c:pt idx="543">
                  <c:v>7.1500000000004</c:v>
                </c:pt>
                <c:pt idx="544">
                  <c:v>7.2000000000003999</c:v>
                </c:pt>
                <c:pt idx="545">
                  <c:v>7.2500000000003997</c:v>
                </c:pt>
                <c:pt idx="546">
                  <c:v>7.3000000000004004</c:v>
                </c:pt>
                <c:pt idx="547">
                  <c:v>7.3500000000004002</c:v>
                </c:pt>
                <c:pt idx="548">
                  <c:v>7.4000000000004</c:v>
                </c:pt>
                <c:pt idx="549">
                  <c:v>7.4500000000003999</c:v>
                </c:pt>
                <c:pt idx="550">
                  <c:v>7.5000000000003997</c:v>
                </c:pt>
                <c:pt idx="551">
                  <c:v>7.5500000000004004</c:v>
                </c:pt>
                <c:pt idx="552">
                  <c:v>7.6000000000004002</c:v>
                </c:pt>
                <c:pt idx="553">
                  <c:v>7.6500000000004</c:v>
                </c:pt>
                <c:pt idx="554">
                  <c:v>7.7000000000003999</c:v>
                </c:pt>
                <c:pt idx="555">
                  <c:v>7.7500000000003997</c:v>
                </c:pt>
                <c:pt idx="556">
                  <c:v>7.8000000000004004</c:v>
                </c:pt>
                <c:pt idx="557">
                  <c:v>7.8500000000004002</c:v>
                </c:pt>
                <c:pt idx="558">
                  <c:v>7.9000000000004</c:v>
                </c:pt>
                <c:pt idx="559">
                  <c:v>7.9500000000003999</c:v>
                </c:pt>
                <c:pt idx="560">
                  <c:v>8.0000000000003997</c:v>
                </c:pt>
                <c:pt idx="561">
                  <c:v>8.0500000000004004</c:v>
                </c:pt>
                <c:pt idx="562">
                  <c:v>8.1000000000003993</c:v>
                </c:pt>
                <c:pt idx="563">
                  <c:v>8.1500000000004</c:v>
                </c:pt>
                <c:pt idx="564">
                  <c:v>8.2000000000004007</c:v>
                </c:pt>
                <c:pt idx="565">
                  <c:v>8.2500000000003997</c:v>
                </c:pt>
                <c:pt idx="566">
                  <c:v>8.3000000000004004</c:v>
                </c:pt>
                <c:pt idx="567">
                  <c:v>8.3500000000003993</c:v>
                </c:pt>
                <c:pt idx="568">
                  <c:v>8.4000000000004</c:v>
                </c:pt>
                <c:pt idx="569">
                  <c:v>8.4500000000004007</c:v>
                </c:pt>
                <c:pt idx="570">
                  <c:v>8.5000000000003997</c:v>
                </c:pt>
                <c:pt idx="571">
                  <c:v>8.5500000000004004</c:v>
                </c:pt>
                <c:pt idx="572">
                  <c:v>8.6000000000003993</c:v>
                </c:pt>
                <c:pt idx="573">
                  <c:v>8.6500000000004</c:v>
                </c:pt>
                <c:pt idx="574">
                  <c:v>8.7000000000004007</c:v>
                </c:pt>
                <c:pt idx="575">
                  <c:v>8.7500000000003997</c:v>
                </c:pt>
                <c:pt idx="576">
                  <c:v>8.8000000000004004</c:v>
                </c:pt>
                <c:pt idx="577">
                  <c:v>8.8500000000003993</c:v>
                </c:pt>
                <c:pt idx="578">
                  <c:v>8.9000000000004</c:v>
                </c:pt>
                <c:pt idx="579">
                  <c:v>8.9500000000004007</c:v>
                </c:pt>
                <c:pt idx="580">
                  <c:v>9.0000000000003997</c:v>
                </c:pt>
                <c:pt idx="581">
                  <c:v>9.0500000000004004</c:v>
                </c:pt>
                <c:pt idx="582">
                  <c:v>9.1000000000003993</c:v>
                </c:pt>
                <c:pt idx="583">
                  <c:v>9.1500000000004</c:v>
                </c:pt>
                <c:pt idx="584">
                  <c:v>9.2000000000004007</c:v>
                </c:pt>
                <c:pt idx="585">
                  <c:v>9.2500000000003997</c:v>
                </c:pt>
                <c:pt idx="586">
                  <c:v>9.3000000000004004</c:v>
                </c:pt>
                <c:pt idx="587">
                  <c:v>9.3500000000003993</c:v>
                </c:pt>
                <c:pt idx="588">
                  <c:v>9.4000000000004</c:v>
                </c:pt>
                <c:pt idx="589">
                  <c:v>9.4500000000004007</c:v>
                </c:pt>
                <c:pt idx="590">
                  <c:v>9.5000000000003997</c:v>
                </c:pt>
                <c:pt idx="591">
                  <c:v>9.5500000000004004</c:v>
                </c:pt>
                <c:pt idx="592">
                  <c:v>9.6000000000003993</c:v>
                </c:pt>
                <c:pt idx="593">
                  <c:v>9.6500000000004</c:v>
                </c:pt>
                <c:pt idx="594">
                  <c:v>9.7000000000004007</c:v>
                </c:pt>
                <c:pt idx="595">
                  <c:v>9.7500000000003997</c:v>
                </c:pt>
                <c:pt idx="596">
                  <c:v>9.8000000000004004</c:v>
                </c:pt>
                <c:pt idx="597">
                  <c:v>9.8500000000003993</c:v>
                </c:pt>
                <c:pt idx="598">
                  <c:v>9.9000000000004</c:v>
                </c:pt>
                <c:pt idx="599">
                  <c:v>9.9500000000004007</c:v>
                </c:pt>
                <c:pt idx="600">
                  <c:v>10.0000000000004</c:v>
                </c:pt>
                <c:pt idx="601">
                  <c:v>10.0500000000004</c:v>
                </c:pt>
                <c:pt idx="602">
                  <c:v>10.100000000000399</c:v>
                </c:pt>
                <c:pt idx="603">
                  <c:v>10.1500000000004</c:v>
                </c:pt>
                <c:pt idx="604">
                  <c:v>10.200000000000401</c:v>
                </c:pt>
                <c:pt idx="605">
                  <c:v>10.2500000000004</c:v>
                </c:pt>
                <c:pt idx="606">
                  <c:v>10.3000000000004</c:v>
                </c:pt>
                <c:pt idx="607">
                  <c:v>10.350000000000399</c:v>
                </c:pt>
                <c:pt idx="608">
                  <c:v>10.4000000000004</c:v>
                </c:pt>
                <c:pt idx="609">
                  <c:v>10.450000000000401</c:v>
                </c:pt>
                <c:pt idx="610">
                  <c:v>10.5000000000004</c:v>
                </c:pt>
                <c:pt idx="611">
                  <c:v>10.5500000000004</c:v>
                </c:pt>
                <c:pt idx="612">
                  <c:v>10.600000000000399</c:v>
                </c:pt>
                <c:pt idx="613">
                  <c:v>10.6500000000004</c:v>
                </c:pt>
                <c:pt idx="614">
                  <c:v>10.700000000000401</c:v>
                </c:pt>
                <c:pt idx="615">
                  <c:v>10.7500000000004</c:v>
                </c:pt>
                <c:pt idx="616">
                  <c:v>10.8000000000004</c:v>
                </c:pt>
                <c:pt idx="617">
                  <c:v>10.850000000000399</c:v>
                </c:pt>
                <c:pt idx="618">
                  <c:v>10.9000000000004</c:v>
                </c:pt>
                <c:pt idx="619">
                  <c:v>10.950000000000401</c:v>
                </c:pt>
                <c:pt idx="620">
                  <c:v>11.0000000000004</c:v>
                </c:pt>
                <c:pt idx="621">
                  <c:v>11.0500000000004</c:v>
                </c:pt>
                <c:pt idx="622">
                  <c:v>11.100000000000399</c:v>
                </c:pt>
                <c:pt idx="623">
                  <c:v>11.1500000000004</c:v>
                </c:pt>
                <c:pt idx="624">
                  <c:v>11.200000000000401</c:v>
                </c:pt>
                <c:pt idx="625">
                  <c:v>11.2500000000004</c:v>
                </c:pt>
                <c:pt idx="626">
                  <c:v>11.3000000000004</c:v>
                </c:pt>
                <c:pt idx="627">
                  <c:v>11.350000000000399</c:v>
                </c:pt>
                <c:pt idx="628">
                  <c:v>11.4000000000004</c:v>
                </c:pt>
                <c:pt idx="629">
                  <c:v>11.450000000000401</c:v>
                </c:pt>
                <c:pt idx="630">
                  <c:v>11.5000000000004</c:v>
                </c:pt>
                <c:pt idx="631">
                  <c:v>11.5500000000004</c:v>
                </c:pt>
                <c:pt idx="632">
                  <c:v>11.600000000000399</c:v>
                </c:pt>
                <c:pt idx="633">
                  <c:v>11.6500000000004</c:v>
                </c:pt>
                <c:pt idx="634">
                  <c:v>11.7000000000005</c:v>
                </c:pt>
                <c:pt idx="635">
                  <c:v>11.750000000000499</c:v>
                </c:pt>
                <c:pt idx="636">
                  <c:v>11.8000000000005</c:v>
                </c:pt>
                <c:pt idx="637">
                  <c:v>11.850000000000501</c:v>
                </c:pt>
                <c:pt idx="638">
                  <c:v>11.9000000000005</c:v>
                </c:pt>
                <c:pt idx="639">
                  <c:v>11.9500000000005</c:v>
                </c:pt>
                <c:pt idx="640">
                  <c:v>12.000000000000499</c:v>
                </c:pt>
                <c:pt idx="641">
                  <c:v>12.0500000000005</c:v>
                </c:pt>
                <c:pt idx="642">
                  <c:v>12.100000000000501</c:v>
                </c:pt>
                <c:pt idx="643">
                  <c:v>12.1500000000005</c:v>
                </c:pt>
                <c:pt idx="644">
                  <c:v>12.2000000000005</c:v>
                </c:pt>
                <c:pt idx="645">
                  <c:v>12.250000000000499</c:v>
                </c:pt>
                <c:pt idx="646">
                  <c:v>12.3000000000005</c:v>
                </c:pt>
                <c:pt idx="647">
                  <c:v>12.350000000000501</c:v>
                </c:pt>
                <c:pt idx="648">
                  <c:v>12.4000000000005</c:v>
                </c:pt>
                <c:pt idx="649">
                  <c:v>12.4500000000005</c:v>
                </c:pt>
                <c:pt idx="650">
                  <c:v>12.500000000000499</c:v>
                </c:pt>
                <c:pt idx="651">
                  <c:v>12.5500000000005</c:v>
                </c:pt>
                <c:pt idx="652">
                  <c:v>12.600000000000501</c:v>
                </c:pt>
                <c:pt idx="653">
                  <c:v>12.6500000000005</c:v>
                </c:pt>
                <c:pt idx="654">
                  <c:v>12.7000000000005</c:v>
                </c:pt>
                <c:pt idx="655">
                  <c:v>12.750000000000499</c:v>
                </c:pt>
                <c:pt idx="656">
                  <c:v>12.8000000000005</c:v>
                </c:pt>
                <c:pt idx="657">
                  <c:v>12.850000000000501</c:v>
                </c:pt>
                <c:pt idx="658">
                  <c:v>12.9000000000005</c:v>
                </c:pt>
                <c:pt idx="659">
                  <c:v>12.9500000000005</c:v>
                </c:pt>
                <c:pt idx="660">
                  <c:v>13.000000000000499</c:v>
                </c:pt>
                <c:pt idx="661">
                  <c:v>13.0500000000005</c:v>
                </c:pt>
                <c:pt idx="662">
                  <c:v>13.100000000000501</c:v>
                </c:pt>
                <c:pt idx="663">
                  <c:v>13.1500000000005</c:v>
                </c:pt>
                <c:pt idx="664">
                  <c:v>13.2000000000005</c:v>
                </c:pt>
                <c:pt idx="665">
                  <c:v>13.250000000000499</c:v>
                </c:pt>
                <c:pt idx="666">
                  <c:v>13.3000000000005</c:v>
                </c:pt>
                <c:pt idx="667">
                  <c:v>13.350000000000501</c:v>
                </c:pt>
                <c:pt idx="668">
                  <c:v>13.4000000000005</c:v>
                </c:pt>
                <c:pt idx="669">
                  <c:v>13.4500000000005</c:v>
                </c:pt>
                <c:pt idx="670">
                  <c:v>13.500000000000499</c:v>
                </c:pt>
                <c:pt idx="671">
                  <c:v>13.5500000000005</c:v>
                </c:pt>
                <c:pt idx="672">
                  <c:v>13.600000000000501</c:v>
                </c:pt>
                <c:pt idx="673">
                  <c:v>13.6500000000005</c:v>
                </c:pt>
                <c:pt idx="674">
                  <c:v>13.7000000000005</c:v>
                </c:pt>
                <c:pt idx="675">
                  <c:v>13.750000000000499</c:v>
                </c:pt>
                <c:pt idx="676">
                  <c:v>13.8000000000005</c:v>
                </c:pt>
                <c:pt idx="677">
                  <c:v>13.850000000000501</c:v>
                </c:pt>
                <c:pt idx="678">
                  <c:v>13.9000000000005</c:v>
                </c:pt>
                <c:pt idx="679">
                  <c:v>13.9500000000005</c:v>
                </c:pt>
                <c:pt idx="680">
                  <c:v>14.000000000000499</c:v>
                </c:pt>
                <c:pt idx="681">
                  <c:v>14.0500000000005</c:v>
                </c:pt>
                <c:pt idx="682">
                  <c:v>14.100000000000501</c:v>
                </c:pt>
                <c:pt idx="683">
                  <c:v>14.1500000000005</c:v>
                </c:pt>
                <c:pt idx="684">
                  <c:v>14.2000000000005</c:v>
                </c:pt>
                <c:pt idx="685">
                  <c:v>14.250000000000499</c:v>
                </c:pt>
                <c:pt idx="686">
                  <c:v>14.3000000000005</c:v>
                </c:pt>
                <c:pt idx="687">
                  <c:v>14.350000000000501</c:v>
                </c:pt>
                <c:pt idx="688">
                  <c:v>14.4000000000005</c:v>
                </c:pt>
                <c:pt idx="689">
                  <c:v>14.4500000000005</c:v>
                </c:pt>
                <c:pt idx="690">
                  <c:v>14.500000000000499</c:v>
                </c:pt>
                <c:pt idx="691">
                  <c:v>14.5500000000005</c:v>
                </c:pt>
                <c:pt idx="692">
                  <c:v>14.600000000000501</c:v>
                </c:pt>
                <c:pt idx="693">
                  <c:v>14.6500000000005</c:v>
                </c:pt>
                <c:pt idx="694">
                  <c:v>14.7000000000005</c:v>
                </c:pt>
                <c:pt idx="695">
                  <c:v>14.750000000000499</c:v>
                </c:pt>
                <c:pt idx="696">
                  <c:v>14.8000000000005</c:v>
                </c:pt>
                <c:pt idx="697">
                  <c:v>14.850000000000501</c:v>
                </c:pt>
                <c:pt idx="698">
                  <c:v>14.9000000000005</c:v>
                </c:pt>
                <c:pt idx="699">
                  <c:v>14.9500000000005</c:v>
                </c:pt>
                <c:pt idx="700">
                  <c:v>15.000000000000499</c:v>
                </c:pt>
                <c:pt idx="701">
                  <c:v>15.0500000000005</c:v>
                </c:pt>
                <c:pt idx="702">
                  <c:v>15.100000000000501</c:v>
                </c:pt>
                <c:pt idx="703">
                  <c:v>15.1500000000005</c:v>
                </c:pt>
                <c:pt idx="704">
                  <c:v>15.2000000000005</c:v>
                </c:pt>
                <c:pt idx="705">
                  <c:v>15.250000000000499</c:v>
                </c:pt>
                <c:pt idx="706">
                  <c:v>15.3000000000005</c:v>
                </c:pt>
                <c:pt idx="707">
                  <c:v>15.350000000000501</c:v>
                </c:pt>
                <c:pt idx="708">
                  <c:v>15.4000000000005</c:v>
                </c:pt>
                <c:pt idx="709">
                  <c:v>15.4500000000005</c:v>
                </c:pt>
                <c:pt idx="710">
                  <c:v>15.500000000000499</c:v>
                </c:pt>
                <c:pt idx="711">
                  <c:v>15.5500000000005</c:v>
                </c:pt>
                <c:pt idx="712">
                  <c:v>15.600000000000501</c:v>
                </c:pt>
                <c:pt idx="713">
                  <c:v>15.6500000000005</c:v>
                </c:pt>
                <c:pt idx="714">
                  <c:v>15.7000000000005</c:v>
                </c:pt>
                <c:pt idx="715">
                  <c:v>15.750000000000499</c:v>
                </c:pt>
                <c:pt idx="716">
                  <c:v>15.8000000000005</c:v>
                </c:pt>
                <c:pt idx="717">
                  <c:v>15.850000000000501</c:v>
                </c:pt>
                <c:pt idx="718">
                  <c:v>15.9000000000005</c:v>
                </c:pt>
                <c:pt idx="719">
                  <c:v>15.9500000000005</c:v>
                </c:pt>
                <c:pt idx="720">
                  <c:v>16.000000000000501</c:v>
                </c:pt>
                <c:pt idx="721">
                  <c:v>16.050000000000502</c:v>
                </c:pt>
                <c:pt idx="722">
                  <c:v>16.100000000000499</c:v>
                </c:pt>
                <c:pt idx="723">
                  <c:v>16.1500000000005</c:v>
                </c:pt>
                <c:pt idx="724">
                  <c:v>16.2000000000005</c:v>
                </c:pt>
                <c:pt idx="725">
                  <c:v>16.250000000000501</c:v>
                </c:pt>
                <c:pt idx="726">
                  <c:v>16.300000000000502</c:v>
                </c:pt>
                <c:pt idx="727">
                  <c:v>16.350000000000499</c:v>
                </c:pt>
                <c:pt idx="728">
                  <c:v>16.4000000000005</c:v>
                </c:pt>
                <c:pt idx="729">
                  <c:v>16.4500000000005</c:v>
                </c:pt>
                <c:pt idx="730">
                  <c:v>16.500000000000501</c:v>
                </c:pt>
                <c:pt idx="731">
                  <c:v>16.550000000000502</c:v>
                </c:pt>
                <c:pt idx="732">
                  <c:v>16.600000000000499</c:v>
                </c:pt>
                <c:pt idx="733">
                  <c:v>16.6500000000005</c:v>
                </c:pt>
                <c:pt idx="734">
                  <c:v>16.7000000000005</c:v>
                </c:pt>
                <c:pt idx="735">
                  <c:v>16.750000000000501</c:v>
                </c:pt>
                <c:pt idx="736">
                  <c:v>16.800000000000502</c:v>
                </c:pt>
                <c:pt idx="737">
                  <c:v>16.850000000000499</c:v>
                </c:pt>
                <c:pt idx="738">
                  <c:v>16.9000000000005</c:v>
                </c:pt>
                <c:pt idx="739">
                  <c:v>16.9500000000005</c:v>
                </c:pt>
                <c:pt idx="740">
                  <c:v>17.000000000000501</c:v>
                </c:pt>
                <c:pt idx="741">
                  <c:v>17.050000000000502</c:v>
                </c:pt>
                <c:pt idx="742">
                  <c:v>17.100000000000499</c:v>
                </c:pt>
                <c:pt idx="743">
                  <c:v>17.1500000000005</c:v>
                </c:pt>
                <c:pt idx="744">
                  <c:v>17.2000000000005</c:v>
                </c:pt>
                <c:pt idx="745">
                  <c:v>17.250000000000501</c:v>
                </c:pt>
                <c:pt idx="746">
                  <c:v>17.300000000000502</c:v>
                </c:pt>
                <c:pt idx="747">
                  <c:v>17.350000000000499</c:v>
                </c:pt>
                <c:pt idx="748">
                  <c:v>17.4000000000005</c:v>
                </c:pt>
                <c:pt idx="749">
                  <c:v>17.4500000000005</c:v>
                </c:pt>
                <c:pt idx="750">
                  <c:v>17.500000000000501</c:v>
                </c:pt>
                <c:pt idx="751">
                  <c:v>17.550000000000502</c:v>
                </c:pt>
                <c:pt idx="752">
                  <c:v>17.600000000000499</c:v>
                </c:pt>
                <c:pt idx="753">
                  <c:v>17.6500000000005</c:v>
                </c:pt>
                <c:pt idx="754">
                  <c:v>17.7000000000005</c:v>
                </c:pt>
                <c:pt idx="755">
                  <c:v>17.750000000000501</c:v>
                </c:pt>
                <c:pt idx="756">
                  <c:v>17.800000000000502</c:v>
                </c:pt>
                <c:pt idx="757">
                  <c:v>17.850000000000499</c:v>
                </c:pt>
                <c:pt idx="758">
                  <c:v>17.9000000000005</c:v>
                </c:pt>
                <c:pt idx="759">
                  <c:v>17.9500000000005</c:v>
                </c:pt>
                <c:pt idx="760">
                  <c:v>18.000000000000501</c:v>
                </c:pt>
                <c:pt idx="761">
                  <c:v>18.050000000000502</c:v>
                </c:pt>
                <c:pt idx="762">
                  <c:v>18.100000000000499</c:v>
                </c:pt>
                <c:pt idx="763">
                  <c:v>18.1500000000005</c:v>
                </c:pt>
                <c:pt idx="764">
                  <c:v>18.2000000000005</c:v>
                </c:pt>
                <c:pt idx="765">
                  <c:v>18.250000000000501</c:v>
                </c:pt>
                <c:pt idx="766">
                  <c:v>18.300000000000502</c:v>
                </c:pt>
                <c:pt idx="767">
                  <c:v>18.350000000000499</c:v>
                </c:pt>
                <c:pt idx="768">
                  <c:v>18.4000000000005</c:v>
                </c:pt>
                <c:pt idx="769">
                  <c:v>18.4500000000005</c:v>
                </c:pt>
                <c:pt idx="770">
                  <c:v>18.500000000000501</c:v>
                </c:pt>
                <c:pt idx="771">
                  <c:v>18.550000000000601</c:v>
                </c:pt>
                <c:pt idx="772">
                  <c:v>18.600000000000499</c:v>
                </c:pt>
                <c:pt idx="773">
                  <c:v>18.6500000000005</c:v>
                </c:pt>
                <c:pt idx="774">
                  <c:v>18.7000000000005</c:v>
                </c:pt>
                <c:pt idx="775">
                  <c:v>18.7500000000006</c:v>
                </c:pt>
                <c:pt idx="776">
                  <c:v>18.800000000000601</c:v>
                </c:pt>
                <c:pt idx="777">
                  <c:v>18.850000000000499</c:v>
                </c:pt>
                <c:pt idx="778">
                  <c:v>18.900000000000599</c:v>
                </c:pt>
                <c:pt idx="779">
                  <c:v>18.9500000000006</c:v>
                </c:pt>
                <c:pt idx="780">
                  <c:v>19.0000000000006</c:v>
                </c:pt>
                <c:pt idx="781">
                  <c:v>19.050000000000601</c:v>
                </c:pt>
                <c:pt idx="782">
                  <c:v>19.100000000000598</c:v>
                </c:pt>
                <c:pt idx="783">
                  <c:v>19.150000000000599</c:v>
                </c:pt>
                <c:pt idx="784">
                  <c:v>19.2000000000006</c:v>
                </c:pt>
                <c:pt idx="785">
                  <c:v>19.2500000000006</c:v>
                </c:pt>
                <c:pt idx="786">
                  <c:v>19.300000000000601</c:v>
                </c:pt>
                <c:pt idx="787">
                  <c:v>19.350000000000598</c:v>
                </c:pt>
                <c:pt idx="788">
                  <c:v>19.400000000000599</c:v>
                </c:pt>
                <c:pt idx="789">
                  <c:v>19.4500000000006</c:v>
                </c:pt>
                <c:pt idx="790">
                  <c:v>19.5000000000006</c:v>
                </c:pt>
                <c:pt idx="791">
                  <c:v>19.550000000000601</c:v>
                </c:pt>
                <c:pt idx="792">
                  <c:v>19.600000000000598</c:v>
                </c:pt>
                <c:pt idx="793">
                  <c:v>19.650000000000599</c:v>
                </c:pt>
                <c:pt idx="794">
                  <c:v>19.7000000000006</c:v>
                </c:pt>
                <c:pt idx="795">
                  <c:v>19.7500000000006</c:v>
                </c:pt>
                <c:pt idx="796">
                  <c:v>19.800000000000601</c:v>
                </c:pt>
                <c:pt idx="797">
                  <c:v>19.850000000000598</c:v>
                </c:pt>
                <c:pt idx="798">
                  <c:v>19.900000000000599</c:v>
                </c:pt>
                <c:pt idx="799">
                  <c:v>19.9500000000006</c:v>
                </c:pt>
                <c:pt idx="800">
                  <c:v>20.0000000000006</c:v>
                </c:pt>
                <c:pt idx="801">
                  <c:v>20.050000000000601</c:v>
                </c:pt>
                <c:pt idx="802">
                  <c:v>20.100000000000598</c:v>
                </c:pt>
                <c:pt idx="803">
                  <c:v>20.150000000000599</c:v>
                </c:pt>
                <c:pt idx="804">
                  <c:v>20.2000000000006</c:v>
                </c:pt>
              </c:numCache>
            </c:numRef>
          </c:xVal>
          <c:yVal>
            <c:numRef>
              <c:f>'current meas'!$F$12:$F$816</c:f>
              <c:numCache>
                <c:formatCode>General</c:formatCode>
                <c:ptCount val="805"/>
                <c:pt idx="0">
                  <c:v>2.65</c:v>
                </c:pt>
                <c:pt idx="1">
                  <c:v>2.6475</c:v>
                </c:pt>
                <c:pt idx="2">
                  <c:v>2.645</c:v>
                </c:pt>
                <c:pt idx="3">
                  <c:v>2.6425000000000001</c:v>
                </c:pt>
                <c:pt idx="4">
                  <c:v>2.6399999999999997</c:v>
                </c:pt>
                <c:pt idx="5">
                  <c:v>2.6375000000000002</c:v>
                </c:pt>
                <c:pt idx="6">
                  <c:v>2.6349999999999998</c:v>
                </c:pt>
                <c:pt idx="7">
                  <c:v>2.6324999999999998</c:v>
                </c:pt>
                <c:pt idx="8">
                  <c:v>2.63</c:v>
                </c:pt>
                <c:pt idx="9">
                  <c:v>2.6274999999999999</c:v>
                </c:pt>
                <c:pt idx="10">
                  <c:v>2.625</c:v>
                </c:pt>
                <c:pt idx="11">
                  <c:v>2.6225000000000001</c:v>
                </c:pt>
                <c:pt idx="12">
                  <c:v>2.62</c:v>
                </c:pt>
                <c:pt idx="13">
                  <c:v>2.6174999999999997</c:v>
                </c:pt>
                <c:pt idx="14">
                  <c:v>2.6149999999999998</c:v>
                </c:pt>
                <c:pt idx="15">
                  <c:v>2.6124999999999998</c:v>
                </c:pt>
                <c:pt idx="16">
                  <c:v>2.61</c:v>
                </c:pt>
                <c:pt idx="17">
                  <c:v>2.6074999999999999</c:v>
                </c:pt>
                <c:pt idx="18">
                  <c:v>2.605</c:v>
                </c:pt>
                <c:pt idx="19">
                  <c:v>2.6025</c:v>
                </c:pt>
                <c:pt idx="20">
                  <c:v>2.6</c:v>
                </c:pt>
                <c:pt idx="21">
                  <c:v>2.5975000000000001</c:v>
                </c:pt>
                <c:pt idx="22">
                  <c:v>2.5949999999999998</c:v>
                </c:pt>
                <c:pt idx="23">
                  <c:v>2.5924999999999998</c:v>
                </c:pt>
                <c:pt idx="24">
                  <c:v>2.59</c:v>
                </c:pt>
                <c:pt idx="25">
                  <c:v>2.5874999999999999</c:v>
                </c:pt>
                <c:pt idx="26">
                  <c:v>2.585</c:v>
                </c:pt>
                <c:pt idx="27">
                  <c:v>2.5825</c:v>
                </c:pt>
                <c:pt idx="28">
                  <c:v>2.58</c:v>
                </c:pt>
                <c:pt idx="29">
                  <c:v>2.5774999999999997</c:v>
                </c:pt>
                <c:pt idx="30">
                  <c:v>2.5750000000000002</c:v>
                </c:pt>
                <c:pt idx="31">
                  <c:v>2.5724999999999998</c:v>
                </c:pt>
                <c:pt idx="32">
                  <c:v>2.57</c:v>
                </c:pt>
                <c:pt idx="33">
                  <c:v>2.5674999999999999</c:v>
                </c:pt>
                <c:pt idx="34">
                  <c:v>2.5649999999999999</c:v>
                </c:pt>
                <c:pt idx="35">
                  <c:v>2.5625</c:v>
                </c:pt>
                <c:pt idx="36">
                  <c:v>2.56</c:v>
                </c:pt>
                <c:pt idx="37">
                  <c:v>2.5575000000000001</c:v>
                </c:pt>
                <c:pt idx="38">
                  <c:v>2.5549999999999997</c:v>
                </c:pt>
                <c:pt idx="39">
                  <c:v>2.5524999999999998</c:v>
                </c:pt>
                <c:pt idx="40">
                  <c:v>2.5499999999999998</c:v>
                </c:pt>
                <c:pt idx="41">
                  <c:v>2.5474999999999999</c:v>
                </c:pt>
                <c:pt idx="42">
                  <c:v>2.5449999999999999</c:v>
                </c:pt>
                <c:pt idx="43">
                  <c:v>2.5425</c:v>
                </c:pt>
                <c:pt idx="44">
                  <c:v>2.54</c:v>
                </c:pt>
                <c:pt idx="45">
                  <c:v>2.5375000000000001</c:v>
                </c:pt>
                <c:pt idx="46">
                  <c:v>2.5350000000000001</c:v>
                </c:pt>
                <c:pt idx="47">
                  <c:v>2.5324999999999998</c:v>
                </c:pt>
                <c:pt idx="48">
                  <c:v>2.5299999999999998</c:v>
                </c:pt>
                <c:pt idx="49">
                  <c:v>2.5274999999999999</c:v>
                </c:pt>
                <c:pt idx="50">
                  <c:v>2.5249999999999999</c:v>
                </c:pt>
                <c:pt idx="51">
                  <c:v>2.5225</c:v>
                </c:pt>
                <c:pt idx="52">
                  <c:v>2.52</c:v>
                </c:pt>
                <c:pt idx="53">
                  <c:v>2.5175000000000001</c:v>
                </c:pt>
                <c:pt idx="54">
                  <c:v>2.5149999999999997</c:v>
                </c:pt>
                <c:pt idx="55">
                  <c:v>2.5125000000000002</c:v>
                </c:pt>
                <c:pt idx="56">
                  <c:v>2.5099999999999998</c:v>
                </c:pt>
                <c:pt idx="57">
                  <c:v>2.5074999999999998</c:v>
                </c:pt>
                <c:pt idx="58">
                  <c:v>2.5049999999999999</c:v>
                </c:pt>
                <c:pt idx="59">
                  <c:v>2.5024999999999999</c:v>
                </c:pt>
                <c:pt idx="60">
                  <c:v>2.5</c:v>
                </c:pt>
                <c:pt idx="61">
                  <c:v>2.4975000000000001</c:v>
                </c:pt>
                <c:pt idx="62">
                  <c:v>2.4950000000000001</c:v>
                </c:pt>
                <c:pt idx="63">
                  <c:v>2.4924999999999997</c:v>
                </c:pt>
                <c:pt idx="64">
                  <c:v>2.4899999999999998</c:v>
                </c:pt>
                <c:pt idx="65">
                  <c:v>2.4874999999999998</c:v>
                </c:pt>
                <c:pt idx="66">
                  <c:v>2.484999999999995</c:v>
                </c:pt>
                <c:pt idx="67">
                  <c:v>2.4824999999999946</c:v>
                </c:pt>
                <c:pt idx="68">
                  <c:v>2.48</c:v>
                </c:pt>
                <c:pt idx="69">
                  <c:v>2.4775</c:v>
                </c:pt>
                <c:pt idx="70">
                  <c:v>2.4750000000000001</c:v>
                </c:pt>
                <c:pt idx="71">
                  <c:v>2.4724999999999948</c:v>
                </c:pt>
                <c:pt idx="72">
                  <c:v>2.4699999999999949</c:v>
                </c:pt>
                <c:pt idx="73">
                  <c:v>2.4674999999999998</c:v>
                </c:pt>
                <c:pt idx="74">
                  <c:v>2.4649999999999999</c:v>
                </c:pt>
                <c:pt idx="75">
                  <c:v>2.4624999999999999</c:v>
                </c:pt>
                <c:pt idx="76">
                  <c:v>2.4599999999999951</c:v>
                </c:pt>
                <c:pt idx="77">
                  <c:v>2.4574999999999947</c:v>
                </c:pt>
                <c:pt idx="78">
                  <c:v>2.4549999999999947</c:v>
                </c:pt>
                <c:pt idx="79">
                  <c:v>2.4524999999999948</c:v>
                </c:pt>
                <c:pt idx="80">
                  <c:v>2.4499999999999948</c:v>
                </c:pt>
                <c:pt idx="81">
                  <c:v>2.4474999999999949</c:v>
                </c:pt>
                <c:pt idx="82">
                  <c:v>2.444999999999995</c:v>
                </c:pt>
                <c:pt idx="83">
                  <c:v>2.442499999999995</c:v>
                </c:pt>
                <c:pt idx="84">
                  <c:v>2.4399999999999951</c:v>
                </c:pt>
                <c:pt idx="85">
                  <c:v>2.4374999999999951</c:v>
                </c:pt>
                <c:pt idx="86">
                  <c:v>2.4349999999999952</c:v>
                </c:pt>
                <c:pt idx="87">
                  <c:v>2.4324999999999948</c:v>
                </c:pt>
                <c:pt idx="88">
                  <c:v>2.4299999999999948</c:v>
                </c:pt>
                <c:pt idx="89">
                  <c:v>2.4274999999999949</c:v>
                </c:pt>
                <c:pt idx="90">
                  <c:v>2.4249999999999949</c:v>
                </c:pt>
                <c:pt idx="91">
                  <c:v>2.422499999999995</c:v>
                </c:pt>
                <c:pt idx="92">
                  <c:v>2.419999999999995</c:v>
                </c:pt>
                <c:pt idx="93">
                  <c:v>2.4174999999999951</c:v>
                </c:pt>
                <c:pt idx="94">
                  <c:v>2.4149999999999947</c:v>
                </c:pt>
                <c:pt idx="95">
                  <c:v>2.4124999999999952</c:v>
                </c:pt>
                <c:pt idx="96">
                  <c:v>2.4099999999999948</c:v>
                </c:pt>
                <c:pt idx="97">
                  <c:v>2.4074999999999949</c:v>
                </c:pt>
                <c:pt idx="98">
                  <c:v>2.4049999999999949</c:v>
                </c:pt>
                <c:pt idx="99">
                  <c:v>2.402499999999995</c:v>
                </c:pt>
                <c:pt idx="100">
                  <c:v>2.399999999999995</c:v>
                </c:pt>
                <c:pt idx="101">
                  <c:v>2.3974999999999951</c:v>
                </c:pt>
                <c:pt idx="102">
                  <c:v>2.3949999999999951</c:v>
                </c:pt>
                <c:pt idx="103">
                  <c:v>2.3924999999999947</c:v>
                </c:pt>
                <c:pt idx="104">
                  <c:v>2.3899999999999948</c:v>
                </c:pt>
                <c:pt idx="105">
                  <c:v>2.3874999999999948</c:v>
                </c:pt>
                <c:pt idx="106">
                  <c:v>2.3849999999999949</c:v>
                </c:pt>
                <c:pt idx="107">
                  <c:v>2.382499999999995</c:v>
                </c:pt>
                <c:pt idx="108">
                  <c:v>2.379999999999995</c:v>
                </c:pt>
                <c:pt idx="109">
                  <c:v>2.3774999999999951</c:v>
                </c:pt>
                <c:pt idx="110">
                  <c:v>2.3749999999999951</c:v>
                </c:pt>
                <c:pt idx="111">
                  <c:v>2.3724999999999952</c:v>
                </c:pt>
                <c:pt idx="112">
                  <c:v>2.3699999999999948</c:v>
                </c:pt>
                <c:pt idx="113">
                  <c:v>2.3674999999999948</c:v>
                </c:pt>
                <c:pt idx="114">
                  <c:v>2.3649999999999949</c:v>
                </c:pt>
                <c:pt idx="115">
                  <c:v>2.3624999999999949</c:v>
                </c:pt>
                <c:pt idx="116">
                  <c:v>2.359999999999995</c:v>
                </c:pt>
                <c:pt idx="117">
                  <c:v>2.357499999999995</c:v>
                </c:pt>
                <c:pt idx="118">
                  <c:v>2.3549999999999951</c:v>
                </c:pt>
                <c:pt idx="119">
                  <c:v>2.3524999999999947</c:v>
                </c:pt>
                <c:pt idx="120">
                  <c:v>2.3499999999999952</c:v>
                </c:pt>
                <c:pt idx="121">
                  <c:v>2.3474999999999948</c:v>
                </c:pt>
                <c:pt idx="122">
                  <c:v>2.3449999999999949</c:v>
                </c:pt>
                <c:pt idx="123">
                  <c:v>2.3424999999999949</c:v>
                </c:pt>
                <c:pt idx="124">
                  <c:v>2.339999999999995</c:v>
                </c:pt>
                <c:pt idx="125">
                  <c:v>2.337499999999995</c:v>
                </c:pt>
                <c:pt idx="126">
                  <c:v>2.3349999999999951</c:v>
                </c:pt>
                <c:pt idx="127">
                  <c:v>2.3324999999999951</c:v>
                </c:pt>
                <c:pt idx="128">
                  <c:v>2.3299999999999947</c:v>
                </c:pt>
                <c:pt idx="129">
                  <c:v>2.3274999999999948</c:v>
                </c:pt>
                <c:pt idx="130">
                  <c:v>2.3249999999999948</c:v>
                </c:pt>
                <c:pt idx="131">
                  <c:v>2.3224999999999949</c:v>
                </c:pt>
                <c:pt idx="132">
                  <c:v>2.319999999999995</c:v>
                </c:pt>
                <c:pt idx="133">
                  <c:v>2.317499999999995</c:v>
                </c:pt>
                <c:pt idx="134">
                  <c:v>2.3149999999999951</c:v>
                </c:pt>
                <c:pt idx="135">
                  <c:v>2.3124999999999951</c:v>
                </c:pt>
                <c:pt idx="136">
                  <c:v>2.3099999999999952</c:v>
                </c:pt>
                <c:pt idx="137">
                  <c:v>2.3074999999999948</c:v>
                </c:pt>
                <c:pt idx="138">
                  <c:v>2.3049999999999948</c:v>
                </c:pt>
                <c:pt idx="139">
                  <c:v>2.3024999999999949</c:v>
                </c:pt>
                <c:pt idx="140">
                  <c:v>2.2999999999999949</c:v>
                </c:pt>
                <c:pt idx="141">
                  <c:v>2.297499999999995</c:v>
                </c:pt>
                <c:pt idx="142">
                  <c:v>2.294999999999995</c:v>
                </c:pt>
                <c:pt idx="143">
                  <c:v>2.2924999999999951</c:v>
                </c:pt>
                <c:pt idx="144">
                  <c:v>2.2899999999999947</c:v>
                </c:pt>
                <c:pt idx="145">
                  <c:v>2.2874999999999952</c:v>
                </c:pt>
                <c:pt idx="146">
                  <c:v>2.2849999999999948</c:v>
                </c:pt>
                <c:pt idx="147">
                  <c:v>2.2824999999999949</c:v>
                </c:pt>
                <c:pt idx="148">
                  <c:v>2.2799999999999949</c:v>
                </c:pt>
                <c:pt idx="149">
                  <c:v>2.277499999999995</c:v>
                </c:pt>
                <c:pt idx="150">
                  <c:v>2.274999999999995</c:v>
                </c:pt>
                <c:pt idx="151">
                  <c:v>2.2724999999999951</c:v>
                </c:pt>
                <c:pt idx="152">
                  <c:v>2.2699999999999951</c:v>
                </c:pt>
                <c:pt idx="153">
                  <c:v>2.2674999999999947</c:v>
                </c:pt>
                <c:pt idx="154">
                  <c:v>2.2649999999999948</c:v>
                </c:pt>
                <c:pt idx="155">
                  <c:v>2.2624999999999948</c:v>
                </c:pt>
                <c:pt idx="156">
                  <c:v>2.2599999999999949</c:v>
                </c:pt>
                <c:pt idx="157">
                  <c:v>2.257499999999995</c:v>
                </c:pt>
                <c:pt idx="158">
                  <c:v>2.254999999999995</c:v>
                </c:pt>
                <c:pt idx="159">
                  <c:v>2.2524999999999951</c:v>
                </c:pt>
                <c:pt idx="160">
                  <c:v>2.2499999999999951</c:v>
                </c:pt>
                <c:pt idx="161">
                  <c:v>2.2474999999999952</c:v>
                </c:pt>
                <c:pt idx="162">
                  <c:v>2.2449999999999948</c:v>
                </c:pt>
                <c:pt idx="163">
                  <c:v>2.2424999999999948</c:v>
                </c:pt>
                <c:pt idx="164">
                  <c:v>2.2399999999999949</c:v>
                </c:pt>
                <c:pt idx="165">
                  <c:v>2.2374999999999949</c:v>
                </c:pt>
                <c:pt idx="166">
                  <c:v>2.234999999999995</c:v>
                </c:pt>
                <c:pt idx="167">
                  <c:v>2.232499999999995</c:v>
                </c:pt>
                <c:pt idx="168">
                  <c:v>2.2299999999999951</c:v>
                </c:pt>
                <c:pt idx="169">
                  <c:v>2.2274999999999947</c:v>
                </c:pt>
                <c:pt idx="170">
                  <c:v>2.2249999999999952</c:v>
                </c:pt>
                <c:pt idx="171">
                  <c:v>2.2224999999999948</c:v>
                </c:pt>
                <c:pt idx="172">
                  <c:v>2.2199999999999949</c:v>
                </c:pt>
                <c:pt idx="173">
                  <c:v>2.2174999999999949</c:v>
                </c:pt>
                <c:pt idx="174">
                  <c:v>2.214999999999995</c:v>
                </c:pt>
                <c:pt idx="175">
                  <c:v>2.212499999999995</c:v>
                </c:pt>
                <c:pt idx="176">
                  <c:v>2.2099999999999951</c:v>
                </c:pt>
                <c:pt idx="177">
                  <c:v>2.2074999999999951</c:v>
                </c:pt>
                <c:pt idx="178">
                  <c:v>2.2049999999999947</c:v>
                </c:pt>
                <c:pt idx="179">
                  <c:v>2.2024999999999948</c:v>
                </c:pt>
                <c:pt idx="180">
                  <c:v>2.1999999999999948</c:v>
                </c:pt>
                <c:pt idx="181">
                  <c:v>2.1974999999999949</c:v>
                </c:pt>
                <c:pt idx="182">
                  <c:v>2.194999999999995</c:v>
                </c:pt>
                <c:pt idx="183">
                  <c:v>2.192499999999995</c:v>
                </c:pt>
                <c:pt idx="184">
                  <c:v>2.1899999999999951</c:v>
                </c:pt>
                <c:pt idx="185">
                  <c:v>2.1874999999999951</c:v>
                </c:pt>
                <c:pt idx="186">
                  <c:v>2.1849999999999952</c:v>
                </c:pt>
                <c:pt idx="187">
                  <c:v>2.1824999999999948</c:v>
                </c:pt>
                <c:pt idx="188">
                  <c:v>2.1799999999999948</c:v>
                </c:pt>
                <c:pt idx="189">
                  <c:v>2.1774999999999949</c:v>
                </c:pt>
                <c:pt idx="190">
                  <c:v>2.1749999999999949</c:v>
                </c:pt>
                <c:pt idx="191">
                  <c:v>2.172499999999995</c:v>
                </c:pt>
                <c:pt idx="192">
                  <c:v>2.169999999999995</c:v>
                </c:pt>
                <c:pt idx="193">
                  <c:v>2.1674999999999951</c:v>
                </c:pt>
                <c:pt idx="194">
                  <c:v>2.1649999999999947</c:v>
                </c:pt>
                <c:pt idx="195">
                  <c:v>2.1624999999999952</c:v>
                </c:pt>
                <c:pt idx="196">
                  <c:v>2.1599999999999948</c:v>
                </c:pt>
                <c:pt idx="197">
                  <c:v>2.1574999999999949</c:v>
                </c:pt>
                <c:pt idx="198">
                  <c:v>2.1549999999999949</c:v>
                </c:pt>
                <c:pt idx="199">
                  <c:v>2.152499999999995</c:v>
                </c:pt>
                <c:pt idx="200">
                  <c:v>2.149999999999995</c:v>
                </c:pt>
                <c:pt idx="201">
                  <c:v>2.1474999999999951</c:v>
                </c:pt>
                <c:pt idx="202">
                  <c:v>2.1449999999999951</c:v>
                </c:pt>
                <c:pt idx="203">
                  <c:v>2.1424999999999947</c:v>
                </c:pt>
                <c:pt idx="204">
                  <c:v>2.1399999999999948</c:v>
                </c:pt>
                <c:pt idx="205">
                  <c:v>2.1374999999999948</c:v>
                </c:pt>
                <c:pt idx="206">
                  <c:v>2.1349999999999949</c:v>
                </c:pt>
                <c:pt idx="207">
                  <c:v>2.132499999999995</c:v>
                </c:pt>
                <c:pt idx="208">
                  <c:v>2.129999999999995</c:v>
                </c:pt>
                <c:pt idx="209">
                  <c:v>2.1274999999999951</c:v>
                </c:pt>
                <c:pt idx="210">
                  <c:v>2.1249999999999951</c:v>
                </c:pt>
                <c:pt idx="211">
                  <c:v>2.1224999999999952</c:v>
                </c:pt>
                <c:pt idx="212">
                  <c:v>2.1199999999999899</c:v>
                </c:pt>
                <c:pt idx="213">
                  <c:v>2.1174999999999899</c:v>
                </c:pt>
                <c:pt idx="214">
                  <c:v>2.11499999999999</c:v>
                </c:pt>
                <c:pt idx="215">
                  <c:v>2.1124999999999901</c:v>
                </c:pt>
                <c:pt idx="216">
                  <c:v>2.1099999999999901</c:v>
                </c:pt>
                <c:pt idx="217">
                  <c:v>2.1074999999999897</c:v>
                </c:pt>
                <c:pt idx="218">
                  <c:v>2.1049999999999898</c:v>
                </c:pt>
                <c:pt idx="219">
                  <c:v>2.1024999999999898</c:v>
                </c:pt>
                <c:pt idx="220">
                  <c:v>2.0999999999999899</c:v>
                </c:pt>
                <c:pt idx="221">
                  <c:v>2.0974999999999899</c:v>
                </c:pt>
                <c:pt idx="222">
                  <c:v>2.09499999999999</c:v>
                </c:pt>
                <c:pt idx="223">
                  <c:v>2.09249999999999</c:v>
                </c:pt>
                <c:pt idx="224">
                  <c:v>2.0899999999999901</c:v>
                </c:pt>
                <c:pt idx="225">
                  <c:v>2.0874999999999897</c:v>
                </c:pt>
                <c:pt idx="226">
                  <c:v>2.0849999999999902</c:v>
                </c:pt>
                <c:pt idx="227">
                  <c:v>2.0824999999999898</c:v>
                </c:pt>
                <c:pt idx="228">
                  <c:v>2.0799999999999899</c:v>
                </c:pt>
                <c:pt idx="229">
                  <c:v>2.0774999999999899</c:v>
                </c:pt>
                <c:pt idx="230">
                  <c:v>2.07499999999999</c:v>
                </c:pt>
                <c:pt idx="231">
                  <c:v>2.07249999999999</c:v>
                </c:pt>
                <c:pt idx="232">
                  <c:v>2.0699999999999901</c:v>
                </c:pt>
                <c:pt idx="233">
                  <c:v>2.0674999999999901</c:v>
                </c:pt>
                <c:pt idx="234">
                  <c:v>2.0649999999999897</c:v>
                </c:pt>
                <c:pt idx="235">
                  <c:v>2.0624999999999898</c:v>
                </c:pt>
                <c:pt idx="236">
                  <c:v>2.0599999999999898</c:v>
                </c:pt>
                <c:pt idx="237">
                  <c:v>2.0574999999999899</c:v>
                </c:pt>
                <c:pt idx="238">
                  <c:v>2.0549999999999899</c:v>
                </c:pt>
                <c:pt idx="239">
                  <c:v>2.05249999999999</c:v>
                </c:pt>
                <c:pt idx="240">
                  <c:v>2.0499999999999901</c:v>
                </c:pt>
                <c:pt idx="241">
                  <c:v>2.0474999999999901</c:v>
                </c:pt>
                <c:pt idx="242">
                  <c:v>2.0449999999999897</c:v>
                </c:pt>
                <c:pt idx="243">
                  <c:v>2.0424999999999898</c:v>
                </c:pt>
                <c:pt idx="244">
                  <c:v>2.0399999999999898</c:v>
                </c:pt>
                <c:pt idx="245">
                  <c:v>2.0374999999999899</c:v>
                </c:pt>
                <c:pt idx="246">
                  <c:v>2.0349999999999899</c:v>
                </c:pt>
                <c:pt idx="247">
                  <c:v>2.03249999999999</c:v>
                </c:pt>
                <c:pt idx="248">
                  <c:v>2.02999999999999</c:v>
                </c:pt>
                <c:pt idx="249">
                  <c:v>2.0274999999999901</c:v>
                </c:pt>
                <c:pt idx="250">
                  <c:v>2.0249999999999897</c:v>
                </c:pt>
                <c:pt idx="251">
                  <c:v>2.0224999999999902</c:v>
                </c:pt>
                <c:pt idx="252">
                  <c:v>2.0199999999999898</c:v>
                </c:pt>
                <c:pt idx="253">
                  <c:v>2.0174999999999899</c:v>
                </c:pt>
                <c:pt idx="254">
                  <c:v>2.0149999999999899</c:v>
                </c:pt>
                <c:pt idx="255">
                  <c:v>2.01249999999999</c:v>
                </c:pt>
                <c:pt idx="256">
                  <c:v>2.00999999999999</c:v>
                </c:pt>
                <c:pt idx="257">
                  <c:v>2.0074999999999901</c:v>
                </c:pt>
                <c:pt idx="258">
                  <c:v>2.0049999999999901</c:v>
                </c:pt>
                <c:pt idx="259">
                  <c:v>2.0024999999999897</c:v>
                </c:pt>
                <c:pt idx="260">
                  <c:v>1.9999999999999898</c:v>
                </c:pt>
                <c:pt idx="261">
                  <c:v>1.9974999999999898</c:v>
                </c:pt>
                <c:pt idx="262">
                  <c:v>1.9949999999999899</c:v>
                </c:pt>
                <c:pt idx="263">
                  <c:v>1.9924999999999899</c:v>
                </c:pt>
                <c:pt idx="264">
                  <c:v>1.98999999999999</c:v>
                </c:pt>
                <c:pt idx="265">
                  <c:v>1.9874999999999898</c:v>
                </c:pt>
                <c:pt idx="266">
                  <c:v>1.9849999999999901</c:v>
                </c:pt>
                <c:pt idx="267">
                  <c:v>1.9824999999999899</c:v>
                </c:pt>
                <c:pt idx="268">
                  <c:v>1.9799999999999898</c:v>
                </c:pt>
                <c:pt idx="269">
                  <c:v>1.9774999999999898</c:v>
                </c:pt>
                <c:pt idx="270">
                  <c:v>1.9749999999999899</c:v>
                </c:pt>
                <c:pt idx="271">
                  <c:v>1.9724999999999899</c:v>
                </c:pt>
                <c:pt idx="272">
                  <c:v>1.96999999999999</c:v>
                </c:pt>
                <c:pt idx="273">
                  <c:v>1.96749999999999</c:v>
                </c:pt>
                <c:pt idx="274">
                  <c:v>1.9649999999999899</c:v>
                </c:pt>
                <c:pt idx="275">
                  <c:v>1.9624999999999899</c:v>
                </c:pt>
                <c:pt idx="276">
                  <c:v>1.95999999999999</c:v>
                </c:pt>
                <c:pt idx="277">
                  <c:v>1.9574999999999898</c:v>
                </c:pt>
                <c:pt idx="278">
                  <c:v>1.9549999999999899</c:v>
                </c:pt>
                <c:pt idx="279">
                  <c:v>1.9524999999999899</c:v>
                </c:pt>
                <c:pt idx="280">
                  <c:v>1.94999999999999</c:v>
                </c:pt>
                <c:pt idx="281">
                  <c:v>1.94749999999999</c:v>
                </c:pt>
                <c:pt idx="282">
                  <c:v>1.9449999999999898</c:v>
                </c:pt>
                <c:pt idx="283">
                  <c:v>1.9424999999999899</c:v>
                </c:pt>
                <c:pt idx="284">
                  <c:v>1.93999999999999</c:v>
                </c:pt>
                <c:pt idx="285">
                  <c:v>1.93749999999999</c:v>
                </c:pt>
                <c:pt idx="286">
                  <c:v>1.9349999999999898</c:v>
                </c:pt>
                <c:pt idx="287">
                  <c:v>1.9324999999999899</c:v>
                </c:pt>
                <c:pt idx="288">
                  <c:v>1.9299999999999899</c:v>
                </c:pt>
                <c:pt idx="289">
                  <c:v>1.92749999999999</c:v>
                </c:pt>
                <c:pt idx="290">
                  <c:v>1.9249999999999901</c:v>
                </c:pt>
                <c:pt idx="291">
                  <c:v>1.9224999999999899</c:v>
                </c:pt>
                <c:pt idx="292">
                  <c:v>1.9199999999999899</c:v>
                </c:pt>
                <c:pt idx="293">
                  <c:v>1.9174999999999898</c:v>
                </c:pt>
                <c:pt idx="294">
                  <c:v>1.9149999999999898</c:v>
                </c:pt>
                <c:pt idx="295">
                  <c:v>1.9124999999999899</c:v>
                </c:pt>
                <c:pt idx="296">
                  <c:v>1.9099999999999899</c:v>
                </c:pt>
                <c:pt idx="297">
                  <c:v>1.90749999999999</c:v>
                </c:pt>
                <c:pt idx="298">
                  <c:v>1.90499999999999</c:v>
                </c:pt>
                <c:pt idx="299">
                  <c:v>1.9024999999999899</c:v>
                </c:pt>
                <c:pt idx="300">
                  <c:v>1.8999999999999899</c:v>
                </c:pt>
                <c:pt idx="301">
                  <c:v>1.89749999999999</c:v>
                </c:pt>
                <c:pt idx="302">
                  <c:v>1.8949999999999898</c:v>
                </c:pt>
                <c:pt idx="303">
                  <c:v>1.8924999999999899</c:v>
                </c:pt>
                <c:pt idx="304">
                  <c:v>1.8899999999999899</c:v>
                </c:pt>
                <c:pt idx="305">
                  <c:v>1.88749999999999</c:v>
                </c:pt>
                <c:pt idx="306">
                  <c:v>1.88499999999999</c:v>
                </c:pt>
                <c:pt idx="307">
                  <c:v>1.8824999999999898</c:v>
                </c:pt>
                <c:pt idx="308">
                  <c:v>1.8799999999999899</c:v>
                </c:pt>
                <c:pt idx="309">
                  <c:v>1.87749999999999</c:v>
                </c:pt>
                <c:pt idx="310">
                  <c:v>1.87499999999999</c:v>
                </c:pt>
                <c:pt idx="311">
                  <c:v>1.8724999999999898</c:v>
                </c:pt>
                <c:pt idx="312">
                  <c:v>1.8699999999999899</c:v>
                </c:pt>
                <c:pt idx="313">
                  <c:v>1.8674999999999899</c:v>
                </c:pt>
                <c:pt idx="314">
                  <c:v>1.86499999999999</c:v>
                </c:pt>
                <c:pt idx="315">
                  <c:v>1.8624999999999901</c:v>
                </c:pt>
                <c:pt idx="316">
                  <c:v>1.8599999999999899</c:v>
                </c:pt>
                <c:pt idx="317">
                  <c:v>1.8574999999999899</c:v>
                </c:pt>
                <c:pt idx="318">
                  <c:v>1.85499999999999</c:v>
                </c:pt>
                <c:pt idx="319">
                  <c:v>1.8524999999999898</c:v>
                </c:pt>
                <c:pt idx="320">
                  <c:v>1.8499999999999899</c:v>
                </c:pt>
                <c:pt idx="321">
                  <c:v>1.8474999999999899</c:v>
                </c:pt>
                <c:pt idx="322">
                  <c:v>1.84499999999999</c:v>
                </c:pt>
                <c:pt idx="323">
                  <c:v>1.8424999999999898</c:v>
                </c:pt>
                <c:pt idx="324">
                  <c:v>1.8399999999999899</c:v>
                </c:pt>
                <c:pt idx="325">
                  <c:v>1.8374999999999899</c:v>
                </c:pt>
                <c:pt idx="326">
                  <c:v>1.83499999999999</c:v>
                </c:pt>
                <c:pt idx="327">
                  <c:v>1.83249999999999</c:v>
                </c:pt>
                <c:pt idx="328">
                  <c:v>1.8299999999999899</c:v>
                </c:pt>
                <c:pt idx="329">
                  <c:v>1.8274999999999899</c:v>
                </c:pt>
                <c:pt idx="330">
                  <c:v>1.82499999999999</c:v>
                </c:pt>
                <c:pt idx="331">
                  <c:v>1.82249999999999</c:v>
                </c:pt>
                <c:pt idx="332">
                  <c:v>1.8199999999999898</c:v>
                </c:pt>
                <c:pt idx="333">
                  <c:v>1.8174999999999899</c:v>
                </c:pt>
                <c:pt idx="334">
                  <c:v>1.81499999999999</c:v>
                </c:pt>
                <c:pt idx="335">
                  <c:v>1.81249999999999</c:v>
                </c:pt>
                <c:pt idx="336">
                  <c:v>1.8099999999999898</c:v>
                </c:pt>
                <c:pt idx="337">
                  <c:v>1.8074999999999899</c:v>
                </c:pt>
                <c:pt idx="338">
                  <c:v>1.8049999999999899</c:v>
                </c:pt>
                <c:pt idx="339">
                  <c:v>1.80249999999999</c:v>
                </c:pt>
                <c:pt idx="340">
                  <c:v>1.7999999999999901</c:v>
                </c:pt>
                <c:pt idx="341">
                  <c:v>1.7974999999999899</c:v>
                </c:pt>
                <c:pt idx="342">
                  <c:v>1.7949999999999899</c:v>
                </c:pt>
                <c:pt idx="343">
                  <c:v>1.79249999999999</c:v>
                </c:pt>
                <c:pt idx="344">
                  <c:v>1.7899999999999898</c:v>
                </c:pt>
                <c:pt idx="345">
                  <c:v>1.7874999999999899</c:v>
                </c:pt>
                <c:pt idx="346">
                  <c:v>1.7849999999999899</c:v>
                </c:pt>
                <c:pt idx="347">
                  <c:v>1.78249999999999</c:v>
                </c:pt>
                <c:pt idx="348">
                  <c:v>1.7799999999999898</c:v>
                </c:pt>
                <c:pt idx="349">
                  <c:v>1.7774999999999899</c:v>
                </c:pt>
                <c:pt idx="350">
                  <c:v>1.7749999999999899</c:v>
                </c:pt>
                <c:pt idx="351">
                  <c:v>1.77249999999999</c:v>
                </c:pt>
                <c:pt idx="352">
                  <c:v>1.7699999999999849</c:v>
                </c:pt>
                <c:pt idx="353">
                  <c:v>1.767499999999985</c:v>
                </c:pt>
                <c:pt idx="354">
                  <c:v>1.764999999999985</c:v>
                </c:pt>
                <c:pt idx="355">
                  <c:v>1.7624999999999849</c:v>
                </c:pt>
                <c:pt idx="356">
                  <c:v>1.7599999999999849</c:v>
                </c:pt>
                <c:pt idx="357">
                  <c:v>1.757499999999985</c:v>
                </c:pt>
                <c:pt idx="358">
                  <c:v>1.7549999999999848</c:v>
                </c:pt>
                <c:pt idx="359">
                  <c:v>1.7524999999999848</c:v>
                </c:pt>
                <c:pt idx="360">
                  <c:v>1.7499999999999849</c:v>
                </c:pt>
                <c:pt idx="361">
                  <c:v>1.747499999999985</c:v>
                </c:pt>
                <c:pt idx="362">
                  <c:v>1.744999999999985</c:v>
                </c:pt>
                <c:pt idx="363">
                  <c:v>1.7424999999999848</c:v>
                </c:pt>
                <c:pt idx="364">
                  <c:v>1.7399999999999849</c:v>
                </c:pt>
                <c:pt idx="365">
                  <c:v>1.7374999999999849</c:v>
                </c:pt>
                <c:pt idx="366">
                  <c:v>1.734999999999985</c:v>
                </c:pt>
                <c:pt idx="367">
                  <c:v>1.7324999999999848</c:v>
                </c:pt>
                <c:pt idx="368">
                  <c:v>1.7299999999999849</c:v>
                </c:pt>
                <c:pt idx="369">
                  <c:v>1.7274999999999849</c:v>
                </c:pt>
                <c:pt idx="370">
                  <c:v>1.724999999999985</c:v>
                </c:pt>
                <c:pt idx="371">
                  <c:v>1.7224999999999848</c:v>
                </c:pt>
                <c:pt idx="372">
                  <c:v>1.7199999999999849</c:v>
                </c:pt>
                <c:pt idx="373">
                  <c:v>1.7174999999999849</c:v>
                </c:pt>
                <c:pt idx="374">
                  <c:v>1.714999999999985</c:v>
                </c:pt>
                <c:pt idx="375">
                  <c:v>1.7124999999999848</c:v>
                </c:pt>
                <c:pt idx="376">
                  <c:v>1.7099999999999849</c:v>
                </c:pt>
                <c:pt idx="377">
                  <c:v>1.7074999999999849</c:v>
                </c:pt>
                <c:pt idx="378">
                  <c:v>1.704999999999985</c:v>
                </c:pt>
                <c:pt idx="379">
                  <c:v>1.702499999999985</c:v>
                </c:pt>
                <c:pt idx="380">
                  <c:v>1.6999999999999851</c:v>
                </c:pt>
                <c:pt idx="381">
                  <c:v>1.6974999999999849</c:v>
                </c:pt>
                <c:pt idx="382">
                  <c:v>1.694999999999985</c:v>
                </c:pt>
                <c:pt idx="383">
                  <c:v>1.6924999999999848</c:v>
                </c:pt>
                <c:pt idx="384">
                  <c:v>1.6899999999999848</c:v>
                </c:pt>
                <c:pt idx="385">
                  <c:v>1.6874999999999849</c:v>
                </c:pt>
                <c:pt idx="386">
                  <c:v>1.684999999999985</c:v>
                </c:pt>
                <c:pt idx="387">
                  <c:v>1.682499999999985</c:v>
                </c:pt>
                <c:pt idx="388">
                  <c:v>1.6799999999999848</c:v>
                </c:pt>
                <c:pt idx="389">
                  <c:v>1.6774999999999849</c:v>
                </c:pt>
                <c:pt idx="390">
                  <c:v>1.6749999999999849</c:v>
                </c:pt>
                <c:pt idx="391">
                  <c:v>1.672499999999985</c:v>
                </c:pt>
                <c:pt idx="392">
                  <c:v>1.6699999999999848</c:v>
                </c:pt>
                <c:pt idx="393">
                  <c:v>1.6674999999999849</c:v>
                </c:pt>
                <c:pt idx="394">
                  <c:v>1.6649999999999849</c:v>
                </c:pt>
                <c:pt idx="395">
                  <c:v>1.662499999999985</c:v>
                </c:pt>
                <c:pt idx="396">
                  <c:v>1.659999999999985</c:v>
                </c:pt>
                <c:pt idx="397">
                  <c:v>1.6574999999999849</c:v>
                </c:pt>
                <c:pt idx="398">
                  <c:v>1.6549999999999849</c:v>
                </c:pt>
                <c:pt idx="399">
                  <c:v>1.6524999999999848</c:v>
                </c:pt>
                <c:pt idx="400">
                  <c:v>1.649999999999985</c:v>
                </c:pt>
                <c:pt idx="401">
                  <c:v>1.6474999999999849</c:v>
                </c:pt>
                <c:pt idx="402">
                  <c:v>1.6449999999999849</c:v>
                </c:pt>
                <c:pt idx="403">
                  <c:v>1.642499999999985</c:v>
                </c:pt>
                <c:pt idx="404">
                  <c:v>1.6399999999999848</c:v>
                </c:pt>
                <c:pt idx="405">
                  <c:v>1.6374999999999851</c:v>
                </c:pt>
                <c:pt idx="406">
                  <c:v>1.6349999999999849</c:v>
                </c:pt>
                <c:pt idx="407">
                  <c:v>1.632499999999985</c:v>
                </c:pt>
                <c:pt idx="408">
                  <c:v>1.6299999999999848</c:v>
                </c:pt>
                <c:pt idx="409">
                  <c:v>1.6274999999999848</c:v>
                </c:pt>
                <c:pt idx="410">
                  <c:v>1.6249999999999849</c:v>
                </c:pt>
                <c:pt idx="411">
                  <c:v>1.622499999999985</c:v>
                </c:pt>
                <c:pt idx="412">
                  <c:v>1.619999999999985</c:v>
                </c:pt>
                <c:pt idx="413">
                  <c:v>1.6174999999999848</c:v>
                </c:pt>
                <c:pt idx="414">
                  <c:v>1.6149999999999849</c:v>
                </c:pt>
                <c:pt idx="415">
                  <c:v>1.6124999999999849</c:v>
                </c:pt>
                <c:pt idx="416">
                  <c:v>1.609999999999985</c:v>
                </c:pt>
                <c:pt idx="417">
                  <c:v>1.6074999999999848</c:v>
                </c:pt>
                <c:pt idx="418">
                  <c:v>1.6049999999999849</c:v>
                </c:pt>
                <c:pt idx="419">
                  <c:v>1.6024999999999849</c:v>
                </c:pt>
                <c:pt idx="420">
                  <c:v>1.599999999999985</c:v>
                </c:pt>
                <c:pt idx="421">
                  <c:v>1.5974999999999848</c:v>
                </c:pt>
                <c:pt idx="422">
                  <c:v>1.5949999999999849</c:v>
                </c:pt>
                <c:pt idx="423">
                  <c:v>1.5924999999999849</c:v>
                </c:pt>
                <c:pt idx="424">
                  <c:v>1.589999999999985</c:v>
                </c:pt>
                <c:pt idx="425">
                  <c:v>1.5874999999999848</c:v>
                </c:pt>
                <c:pt idx="426">
                  <c:v>1.5849999999999849</c:v>
                </c:pt>
                <c:pt idx="427">
                  <c:v>1.5824999999999849</c:v>
                </c:pt>
                <c:pt idx="428">
                  <c:v>1.579999999999985</c:v>
                </c:pt>
                <c:pt idx="429">
                  <c:v>1.577499999999985</c:v>
                </c:pt>
                <c:pt idx="430">
                  <c:v>1.5749999999999849</c:v>
                </c:pt>
                <c:pt idx="431">
                  <c:v>1.5724999999999849</c:v>
                </c:pt>
                <c:pt idx="432">
                  <c:v>1.569999999999985</c:v>
                </c:pt>
                <c:pt idx="433">
                  <c:v>1.567499999999985</c:v>
                </c:pt>
                <c:pt idx="434">
                  <c:v>1.5649999999999848</c:v>
                </c:pt>
                <c:pt idx="435">
                  <c:v>1.5624999999999849</c:v>
                </c:pt>
                <c:pt idx="436">
                  <c:v>1.559999999999985</c:v>
                </c:pt>
                <c:pt idx="437">
                  <c:v>1.557499999999985</c:v>
                </c:pt>
                <c:pt idx="438">
                  <c:v>1.5549999999999848</c:v>
                </c:pt>
                <c:pt idx="439">
                  <c:v>1.5524999999999849</c:v>
                </c:pt>
                <c:pt idx="440">
                  <c:v>1.5499999999999849</c:v>
                </c:pt>
                <c:pt idx="441">
                  <c:v>1.547499999999985</c:v>
                </c:pt>
                <c:pt idx="442">
                  <c:v>1.5449999999999848</c:v>
                </c:pt>
                <c:pt idx="443">
                  <c:v>1.5424999999999849</c:v>
                </c:pt>
                <c:pt idx="444">
                  <c:v>1.5399999999999849</c:v>
                </c:pt>
                <c:pt idx="445">
                  <c:v>1.537499999999985</c:v>
                </c:pt>
                <c:pt idx="446">
                  <c:v>1.5349999999999848</c:v>
                </c:pt>
                <c:pt idx="447">
                  <c:v>1.5324999999999849</c:v>
                </c:pt>
                <c:pt idx="448">
                  <c:v>1.5299999999999849</c:v>
                </c:pt>
                <c:pt idx="449">
                  <c:v>1.527499999999985</c:v>
                </c:pt>
                <c:pt idx="450">
                  <c:v>1.5249999999999848</c:v>
                </c:pt>
                <c:pt idx="451">
                  <c:v>1.5224999999999849</c:v>
                </c:pt>
                <c:pt idx="452">
                  <c:v>1.5199999999999849</c:v>
                </c:pt>
                <c:pt idx="453">
                  <c:v>1.517499999999985</c:v>
                </c:pt>
                <c:pt idx="454">
                  <c:v>1.514999999999985</c:v>
                </c:pt>
                <c:pt idx="455">
                  <c:v>1.5124999999999849</c:v>
                </c:pt>
                <c:pt idx="456">
                  <c:v>1.5099999999999849</c:v>
                </c:pt>
                <c:pt idx="457">
                  <c:v>1.507499999999985</c:v>
                </c:pt>
                <c:pt idx="458">
                  <c:v>1.5049999999999848</c:v>
                </c:pt>
                <c:pt idx="459">
                  <c:v>1.5024999999999848</c:v>
                </c:pt>
                <c:pt idx="460">
                  <c:v>1.4999999999999849</c:v>
                </c:pt>
                <c:pt idx="461">
                  <c:v>1.497499999999985</c:v>
                </c:pt>
                <c:pt idx="462">
                  <c:v>1.494999999999985</c:v>
                </c:pt>
                <c:pt idx="463">
                  <c:v>1.4924999999999848</c:v>
                </c:pt>
                <c:pt idx="464">
                  <c:v>1.4899999999999849</c:v>
                </c:pt>
                <c:pt idx="465">
                  <c:v>1.4874999999999849</c:v>
                </c:pt>
                <c:pt idx="466">
                  <c:v>1.484999999999985</c:v>
                </c:pt>
                <c:pt idx="467">
                  <c:v>1.4824999999999848</c:v>
                </c:pt>
                <c:pt idx="468">
                  <c:v>1.4799999999999849</c:v>
                </c:pt>
                <c:pt idx="469">
                  <c:v>1.4774999999999849</c:v>
                </c:pt>
                <c:pt idx="470">
                  <c:v>1.474999999999985</c:v>
                </c:pt>
                <c:pt idx="471">
                  <c:v>1.4724999999999848</c:v>
                </c:pt>
                <c:pt idx="472">
                  <c:v>1.4699999999999849</c:v>
                </c:pt>
                <c:pt idx="473">
                  <c:v>1.4674999999999849</c:v>
                </c:pt>
                <c:pt idx="474">
                  <c:v>1.464999999999985</c:v>
                </c:pt>
                <c:pt idx="475">
                  <c:v>1.4624999999999848</c:v>
                </c:pt>
                <c:pt idx="476">
                  <c:v>1.4599999999999849</c:v>
                </c:pt>
                <c:pt idx="477">
                  <c:v>1.4574999999999849</c:v>
                </c:pt>
                <c:pt idx="478">
                  <c:v>1.454999999999985</c:v>
                </c:pt>
                <c:pt idx="479">
                  <c:v>1.452499999999985</c:v>
                </c:pt>
                <c:pt idx="480">
                  <c:v>1.4499999999999849</c:v>
                </c:pt>
                <c:pt idx="481">
                  <c:v>1.4474999999999849</c:v>
                </c:pt>
                <c:pt idx="482">
                  <c:v>1.444999999999985</c:v>
                </c:pt>
                <c:pt idx="483">
                  <c:v>1.4424999999999848</c:v>
                </c:pt>
                <c:pt idx="484">
                  <c:v>1.4399999999999848</c:v>
                </c:pt>
                <c:pt idx="485">
                  <c:v>1.4374999999999849</c:v>
                </c:pt>
                <c:pt idx="486">
                  <c:v>1.434999999999985</c:v>
                </c:pt>
                <c:pt idx="487">
                  <c:v>1.432499999999985</c:v>
                </c:pt>
                <c:pt idx="488">
                  <c:v>1.4299999999999848</c:v>
                </c:pt>
                <c:pt idx="489">
                  <c:v>1.4274999999999849</c:v>
                </c:pt>
                <c:pt idx="490">
                  <c:v>1.4249999999999849</c:v>
                </c:pt>
                <c:pt idx="491">
                  <c:v>1.422499999999985</c:v>
                </c:pt>
                <c:pt idx="492">
                  <c:v>1.4199999999999848</c:v>
                </c:pt>
                <c:pt idx="493">
                  <c:v>1.41749999999998</c:v>
                </c:pt>
                <c:pt idx="494">
                  <c:v>1.4149999999999798</c:v>
                </c:pt>
                <c:pt idx="495">
                  <c:v>1.4124999999999799</c:v>
                </c:pt>
                <c:pt idx="496">
                  <c:v>1.4099999999999799</c:v>
                </c:pt>
                <c:pt idx="497">
                  <c:v>1.40749999999998</c:v>
                </c:pt>
                <c:pt idx="498">
                  <c:v>1.4049999999999798</c:v>
                </c:pt>
                <c:pt idx="499">
                  <c:v>1.4024999999999799</c:v>
                </c:pt>
                <c:pt idx="500">
                  <c:v>1.3999999999999799</c:v>
                </c:pt>
                <c:pt idx="501">
                  <c:v>1.39749999999998</c:v>
                </c:pt>
                <c:pt idx="502">
                  <c:v>1.39499999999998</c:v>
                </c:pt>
                <c:pt idx="503">
                  <c:v>1.3924999999999799</c:v>
                </c:pt>
                <c:pt idx="504">
                  <c:v>1.3899999999999799</c:v>
                </c:pt>
                <c:pt idx="505">
                  <c:v>1.38749999999998</c:v>
                </c:pt>
                <c:pt idx="506">
                  <c:v>1.3849999999999798</c:v>
                </c:pt>
                <c:pt idx="507">
                  <c:v>1.3824999999999799</c:v>
                </c:pt>
                <c:pt idx="508">
                  <c:v>1.3799999999999799</c:v>
                </c:pt>
                <c:pt idx="509">
                  <c:v>1.37749999999998</c:v>
                </c:pt>
                <c:pt idx="510">
                  <c:v>1.37499999999998</c:v>
                </c:pt>
                <c:pt idx="511">
                  <c:v>1.3724999999999798</c:v>
                </c:pt>
                <c:pt idx="512">
                  <c:v>1.3699999999999799</c:v>
                </c:pt>
                <c:pt idx="513">
                  <c:v>1.36749999999998</c:v>
                </c:pt>
                <c:pt idx="514">
                  <c:v>1.3649999999999798</c:v>
                </c:pt>
                <c:pt idx="515">
                  <c:v>1.3624999999999798</c:v>
                </c:pt>
                <c:pt idx="516">
                  <c:v>1.3599999999999799</c:v>
                </c:pt>
                <c:pt idx="517">
                  <c:v>1.3574999999999799</c:v>
                </c:pt>
                <c:pt idx="518">
                  <c:v>1.35499999999998</c:v>
                </c:pt>
                <c:pt idx="519">
                  <c:v>1.3524999999999798</c:v>
                </c:pt>
                <c:pt idx="520">
                  <c:v>1.3499999999999799</c:v>
                </c:pt>
                <c:pt idx="521">
                  <c:v>1.3474999999999799</c:v>
                </c:pt>
                <c:pt idx="522">
                  <c:v>1.3449999999999798</c:v>
                </c:pt>
                <c:pt idx="523">
                  <c:v>1.3424999999999798</c:v>
                </c:pt>
                <c:pt idx="524">
                  <c:v>1.3399999999999799</c:v>
                </c:pt>
                <c:pt idx="525">
                  <c:v>1.3374999999999799</c:v>
                </c:pt>
                <c:pt idx="526">
                  <c:v>1.33499999999998</c:v>
                </c:pt>
                <c:pt idx="527">
                  <c:v>1.33249999999998</c:v>
                </c:pt>
                <c:pt idx="528">
                  <c:v>1.3299999999999799</c:v>
                </c:pt>
                <c:pt idx="529">
                  <c:v>1.3274999999999799</c:v>
                </c:pt>
                <c:pt idx="530">
                  <c:v>1.32499999999998</c:v>
                </c:pt>
                <c:pt idx="531">
                  <c:v>1.3224999999999798</c:v>
                </c:pt>
                <c:pt idx="532">
                  <c:v>1.3199999999999799</c:v>
                </c:pt>
                <c:pt idx="533">
                  <c:v>1.3174999999999799</c:v>
                </c:pt>
                <c:pt idx="534">
                  <c:v>1.31499999999998</c:v>
                </c:pt>
                <c:pt idx="535">
                  <c:v>1.31249999999998</c:v>
                </c:pt>
                <c:pt idx="536">
                  <c:v>1.3099999999999798</c:v>
                </c:pt>
                <c:pt idx="537">
                  <c:v>1.3074999999999799</c:v>
                </c:pt>
                <c:pt idx="538">
                  <c:v>1.3049999999999797</c:v>
                </c:pt>
                <c:pt idx="539">
                  <c:v>1.30249999999998</c:v>
                </c:pt>
                <c:pt idx="540">
                  <c:v>1.2999999999999798</c:v>
                </c:pt>
                <c:pt idx="541">
                  <c:v>1.2974999999999799</c:v>
                </c:pt>
                <c:pt idx="542">
                  <c:v>1.2949999999999799</c:v>
                </c:pt>
                <c:pt idx="543">
                  <c:v>1.29249999999998</c:v>
                </c:pt>
                <c:pt idx="544">
                  <c:v>1.2899999999999801</c:v>
                </c:pt>
                <c:pt idx="545">
                  <c:v>1.2874999999999799</c:v>
                </c:pt>
                <c:pt idx="546">
                  <c:v>1.2849999999999799</c:v>
                </c:pt>
                <c:pt idx="547">
                  <c:v>1.2824999999999798</c:v>
                </c:pt>
                <c:pt idx="548">
                  <c:v>1.2799999999999798</c:v>
                </c:pt>
                <c:pt idx="549">
                  <c:v>1.2774999999999799</c:v>
                </c:pt>
                <c:pt idx="550">
                  <c:v>1.2749999999999799</c:v>
                </c:pt>
                <c:pt idx="551">
                  <c:v>1.27249999999998</c:v>
                </c:pt>
                <c:pt idx="552">
                  <c:v>1.2699999999999798</c:v>
                </c:pt>
                <c:pt idx="553">
                  <c:v>1.2674999999999799</c:v>
                </c:pt>
                <c:pt idx="554">
                  <c:v>1.2649999999999799</c:v>
                </c:pt>
                <c:pt idx="555">
                  <c:v>1.26249999999998</c:v>
                </c:pt>
                <c:pt idx="556">
                  <c:v>1.2599999999999798</c:v>
                </c:pt>
                <c:pt idx="557">
                  <c:v>1.2574999999999799</c:v>
                </c:pt>
                <c:pt idx="558">
                  <c:v>1.2549999999999799</c:v>
                </c:pt>
                <c:pt idx="559">
                  <c:v>1.25249999999998</c:v>
                </c:pt>
                <c:pt idx="560">
                  <c:v>1.24999999999998</c:v>
                </c:pt>
                <c:pt idx="561">
                  <c:v>1.2474999999999798</c:v>
                </c:pt>
                <c:pt idx="562">
                  <c:v>1.2449999999999799</c:v>
                </c:pt>
                <c:pt idx="563">
                  <c:v>1.2424999999999797</c:v>
                </c:pt>
                <c:pt idx="564">
                  <c:v>1.2399999999999798</c:v>
                </c:pt>
                <c:pt idx="565">
                  <c:v>1.2374999999999798</c:v>
                </c:pt>
                <c:pt idx="566">
                  <c:v>1.2349999999999799</c:v>
                </c:pt>
                <c:pt idx="567">
                  <c:v>1.2324999999999799</c:v>
                </c:pt>
                <c:pt idx="568">
                  <c:v>1.22999999999998</c:v>
                </c:pt>
                <c:pt idx="569">
                  <c:v>1.2274999999999798</c:v>
                </c:pt>
                <c:pt idx="570">
                  <c:v>1.2249999999999799</c:v>
                </c:pt>
                <c:pt idx="571">
                  <c:v>1.2224999999999799</c:v>
                </c:pt>
                <c:pt idx="572">
                  <c:v>1.21999999999998</c:v>
                </c:pt>
                <c:pt idx="573">
                  <c:v>1.2174999999999798</c:v>
                </c:pt>
                <c:pt idx="574">
                  <c:v>1.2149999999999799</c:v>
                </c:pt>
                <c:pt idx="575">
                  <c:v>1.2124999999999799</c:v>
                </c:pt>
                <c:pt idx="576">
                  <c:v>1.20999999999998</c:v>
                </c:pt>
                <c:pt idx="577">
                  <c:v>1.20749999999998</c:v>
                </c:pt>
                <c:pt idx="578">
                  <c:v>1.2049999999999799</c:v>
                </c:pt>
                <c:pt idx="579">
                  <c:v>1.2024999999999799</c:v>
                </c:pt>
                <c:pt idx="580">
                  <c:v>1.19999999999998</c:v>
                </c:pt>
                <c:pt idx="581">
                  <c:v>1.1974999999999798</c:v>
                </c:pt>
                <c:pt idx="582">
                  <c:v>1.1949999999999799</c:v>
                </c:pt>
                <c:pt idx="583">
                  <c:v>1.1924999999999799</c:v>
                </c:pt>
                <c:pt idx="584">
                  <c:v>1.18999999999998</c:v>
                </c:pt>
                <c:pt idx="585">
                  <c:v>1.18749999999998</c:v>
                </c:pt>
                <c:pt idx="586">
                  <c:v>1.1849999999999798</c:v>
                </c:pt>
                <c:pt idx="587">
                  <c:v>1.1824999999999799</c:v>
                </c:pt>
                <c:pt idx="588">
                  <c:v>1.1799999999999797</c:v>
                </c:pt>
                <c:pt idx="589">
                  <c:v>1.1774999999999798</c:v>
                </c:pt>
                <c:pt idx="590">
                  <c:v>1.1749999999999798</c:v>
                </c:pt>
                <c:pt idx="591">
                  <c:v>1.1724999999999799</c:v>
                </c:pt>
                <c:pt idx="592">
                  <c:v>1.1699999999999799</c:v>
                </c:pt>
                <c:pt idx="593">
                  <c:v>1.16749999999998</c:v>
                </c:pt>
                <c:pt idx="594">
                  <c:v>1.1649999999999798</c:v>
                </c:pt>
                <c:pt idx="595">
                  <c:v>1.1624999999999799</c:v>
                </c:pt>
                <c:pt idx="596">
                  <c:v>1.1599999999999799</c:v>
                </c:pt>
                <c:pt idx="597">
                  <c:v>1.15749999999998</c:v>
                </c:pt>
                <c:pt idx="598">
                  <c:v>1.1549999999999798</c:v>
                </c:pt>
                <c:pt idx="599">
                  <c:v>1.1524999999999799</c:v>
                </c:pt>
                <c:pt idx="600">
                  <c:v>1.1499999999999799</c:v>
                </c:pt>
                <c:pt idx="601">
                  <c:v>1.14749999999998</c:v>
                </c:pt>
                <c:pt idx="602">
                  <c:v>1.14499999999998</c:v>
                </c:pt>
                <c:pt idx="603">
                  <c:v>1.1424999999999799</c:v>
                </c:pt>
                <c:pt idx="604">
                  <c:v>1.1399999999999799</c:v>
                </c:pt>
                <c:pt idx="605">
                  <c:v>1.13749999999998</c:v>
                </c:pt>
                <c:pt idx="606">
                  <c:v>1.1349999999999798</c:v>
                </c:pt>
                <c:pt idx="607">
                  <c:v>1.1324999999999799</c:v>
                </c:pt>
                <c:pt idx="608">
                  <c:v>1.1299999999999799</c:v>
                </c:pt>
                <c:pt idx="609">
                  <c:v>1.12749999999998</c:v>
                </c:pt>
                <c:pt idx="610">
                  <c:v>1.12499999999998</c:v>
                </c:pt>
                <c:pt idx="611">
                  <c:v>1.1224999999999798</c:v>
                </c:pt>
                <c:pt idx="612">
                  <c:v>1.1199999999999799</c:v>
                </c:pt>
                <c:pt idx="613">
                  <c:v>1.1174999999999797</c:v>
                </c:pt>
                <c:pt idx="614">
                  <c:v>1.1149999999999798</c:v>
                </c:pt>
                <c:pt idx="615">
                  <c:v>1.1124999999999798</c:v>
                </c:pt>
                <c:pt idx="616">
                  <c:v>1.1099999999999799</c:v>
                </c:pt>
                <c:pt idx="617">
                  <c:v>1.1074999999999799</c:v>
                </c:pt>
                <c:pt idx="618">
                  <c:v>1.10499999999998</c:v>
                </c:pt>
                <c:pt idx="619">
                  <c:v>1.1024999999999798</c:v>
                </c:pt>
                <c:pt idx="620">
                  <c:v>1.0999999999999799</c:v>
                </c:pt>
                <c:pt idx="621">
                  <c:v>1.0974999999999797</c:v>
                </c:pt>
                <c:pt idx="622">
                  <c:v>1.0949999999999798</c:v>
                </c:pt>
                <c:pt idx="623">
                  <c:v>1.0924999999999798</c:v>
                </c:pt>
                <c:pt idx="624">
                  <c:v>1.0899999999999799</c:v>
                </c:pt>
                <c:pt idx="625">
                  <c:v>1.0874999999999799</c:v>
                </c:pt>
                <c:pt idx="626">
                  <c:v>1.08499999999998</c:v>
                </c:pt>
                <c:pt idx="627">
                  <c:v>1.08249999999998</c:v>
                </c:pt>
                <c:pt idx="628">
                  <c:v>1.0799999999999799</c:v>
                </c:pt>
                <c:pt idx="629">
                  <c:v>1.0774999999999797</c:v>
                </c:pt>
                <c:pt idx="630">
                  <c:v>1.07499999999998</c:v>
                </c:pt>
                <c:pt idx="631">
                  <c:v>1.0724999999999798</c:v>
                </c:pt>
                <c:pt idx="632">
                  <c:v>1.0699999999999799</c:v>
                </c:pt>
                <c:pt idx="633">
                  <c:v>1.0674999999999799</c:v>
                </c:pt>
                <c:pt idx="634">
                  <c:v>1.0649999999999749</c:v>
                </c:pt>
                <c:pt idx="635">
                  <c:v>1.0624999999999749</c:v>
                </c:pt>
                <c:pt idx="636">
                  <c:v>1.0599999999999747</c:v>
                </c:pt>
                <c:pt idx="637">
                  <c:v>1.0574999999999748</c:v>
                </c:pt>
                <c:pt idx="638">
                  <c:v>1.0549999999999748</c:v>
                </c:pt>
                <c:pt idx="639">
                  <c:v>1.0524999999999749</c:v>
                </c:pt>
                <c:pt idx="640">
                  <c:v>1.049999999999975</c:v>
                </c:pt>
                <c:pt idx="641">
                  <c:v>1.047499999999975</c:v>
                </c:pt>
                <c:pt idx="642">
                  <c:v>1.0449999999999748</c:v>
                </c:pt>
                <c:pt idx="643">
                  <c:v>1.0424999999999749</c:v>
                </c:pt>
                <c:pt idx="644">
                  <c:v>1.0399999999999747</c:v>
                </c:pt>
                <c:pt idx="645">
                  <c:v>1.037499999999975</c:v>
                </c:pt>
                <c:pt idx="646">
                  <c:v>1.0349999999999748</c:v>
                </c:pt>
                <c:pt idx="647">
                  <c:v>1.0324999999999749</c:v>
                </c:pt>
                <c:pt idx="648">
                  <c:v>1.0299999999999749</c:v>
                </c:pt>
                <c:pt idx="649">
                  <c:v>1.027499999999975</c:v>
                </c:pt>
                <c:pt idx="650">
                  <c:v>1.024999999999975</c:v>
                </c:pt>
                <c:pt idx="651">
                  <c:v>1.0224999999999749</c:v>
                </c:pt>
                <c:pt idx="652">
                  <c:v>1.0199999999999749</c:v>
                </c:pt>
                <c:pt idx="653">
                  <c:v>1.0174999999999748</c:v>
                </c:pt>
                <c:pt idx="654">
                  <c:v>1.0149999999999748</c:v>
                </c:pt>
                <c:pt idx="655">
                  <c:v>1.0124999999999749</c:v>
                </c:pt>
                <c:pt idx="656">
                  <c:v>1.0099999999999749</c:v>
                </c:pt>
                <c:pt idx="657">
                  <c:v>1.007499999999975</c:v>
                </c:pt>
                <c:pt idx="658">
                  <c:v>1.004999999999975</c:v>
                </c:pt>
                <c:pt idx="659">
                  <c:v>1.0024999999999749</c:v>
                </c:pt>
                <c:pt idx="660">
                  <c:v>0.99999999999997491</c:v>
                </c:pt>
                <c:pt idx="661">
                  <c:v>0.99749999999997485</c:v>
                </c:pt>
                <c:pt idx="662">
                  <c:v>0.9949999999999749</c:v>
                </c:pt>
                <c:pt idx="663">
                  <c:v>0.99249999999997485</c:v>
                </c:pt>
                <c:pt idx="664">
                  <c:v>0.9899999999999749</c:v>
                </c:pt>
                <c:pt idx="665">
                  <c:v>0.98749999999997484</c:v>
                </c:pt>
                <c:pt idx="666">
                  <c:v>0.9849999999999749</c:v>
                </c:pt>
                <c:pt idx="667">
                  <c:v>0.98249999999997484</c:v>
                </c:pt>
                <c:pt idx="668">
                  <c:v>0.97999999999997489</c:v>
                </c:pt>
                <c:pt idx="669">
                  <c:v>0.97749999999997483</c:v>
                </c:pt>
                <c:pt idx="670">
                  <c:v>0.97499999999997489</c:v>
                </c:pt>
                <c:pt idx="671">
                  <c:v>0.97249999999997494</c:v>
                </c:pt>
                <c:pt idx="672">
                  <c:v>0.96999999999997488</c:v>
                </c:pt>
                <c:pt idx="673">
                  <c:v>0.96749999999997494</c:v>
                </c:pt>
                <c:pt idx="674">
                  <c:v>0.96499999999997488</c:v>
                </c:pt>
                <c:pt idx="675">
                  <c:v>0.96249999999997493</c:v>
                </c:pt>
                <c:pt idx="676">
                  <c:v>0.95999999999997487</c:v>
                </c:pt>
                <c:pt idx="677">
                  <c:v>0.95749999999997493</c:v>
                </c:pt>
                <c:pt idx="678">
                  <c:v>0.95499999999997487</c:v>
                </c:pt>
                <c:pt idx="679">
                  <c:v>0.95249999999997492</c:v>
                </c:pt>
                <c:pt idx="680">
                  <c:v>0.94999999999997486</c:v>
                </c:pt>
                <c:pt idx="681">
                  <c:v>0.94749999999997492</c:v>
                </c:pt>
                <c:pt idx="682">
                  <c:v>0.94499999999997486</c:v>
                </c:pt>
                <c:pt idx="683">
                  <c:v>0.94249999999997491</c:v>
                </c:pt>
                <c:pt idx="684">
                  <c:v>0.93999999999997486</c:v>
                </c:pt>
                <c:pt idx="685">
                  <c:v>0.93749999999997491</c:v>
                </c:pt>
                <c:pt idx="686">
                  <c:v>0.93499999999997485</c:v>
                </c:pt>
                <c:pt idx="687">
                  <c:v>0.9324999999999749</c:v>
                </c:pt>
                <c:pt idx="688">
                  <c:v>0.92999999999997485</c:v>
                </c:pt>
                <c:pt idx="689">
                  <c:v>0.9274999999999749</c:v>
                </c:pt>
                <c:pt idx="690">
                  <c:v>0.92499999999997484</c:v>
                </c:pt>
                <c:pt idx="691">
                  <c:v>0.9224999999999749</c:v>
                </c:pt>
                <c:pt idx="692">
                  <c:v>0.91999999999997484</c:v>
                </c:pt>
                <c:pt idx="693">
                  <c:v>0.91749999999997489</c:v>
                </c:pt>
                <c:pt idx="694">
                  <c:v>0.91499999999997483</c:v>
                </c:pt>
                <c:pt idx="695">
                  <c:v>0.91249999999997489</c:v>
                </c:pt>
                <c:pt idx="696">
                  <c:v>0.90999999999997494</c:v>
                </c:pt>
                <c:pt idx="697">
                  <c:v>0.90749999999997488</c:v>
                </c:pt>
                <c:pt idx="698">
                  <c:v>0.90499999999997494</c:v>
                </c:pt>
                <c:pt idx="699">
                  <c:v>0.90249999999997488</c:v>
                </c:pt>
                <c:pt idx="700">
                  <c:v>0.89999999999997493</c:v>
                </c:pt>
                <c:pt idx="701">
                  <c:v>0.89749999999997487</c:v>
                </c:pt>
                <c:pt idx="702">
                  <c:v>0.89499999999997493</c:v>
                </c:pt>
                <c:pt idx="703">
                  <c:v>0.89249999999997487</c:v>
                </c:pt>
                <c:pt idx="704">
                  <c:v>0.88999999999997492</c:v>
                </c:pt>
                <c:pt idx="705">
                  <c:v>0.88749999999997486</c:v>
                </c:pt>
                <c:pt idx="706">
                  <c:v>0.88499999999997492</c:v>
                </c:pt>
                <c:pt idx="707">
                  <c:v>0.88249999999997486</c:v>
                </c:pt>
                <c:pt idx="708">
                  <c:v>0.87999999999997491</c:v>
                </c:pt>
                <c:pt idx="709">
                  <c:v>0.87749999999997486</c:v>
                </c:pt>
                <c:pt idx="710">
                  <c:v>0.87499999999997491</c:v>
                </c:pt>
                <c:pt idx="711">
                  <c:v>0.87249999999997485</c:v>
                </c:pt>
                <c:pt idx="712">
                  <c:v>0.8699999999999749</c:v>
                </c:pt>
                <c:pt idx="713">
                  <c:v>0.86749999999997485</c:v>
                </c:pt>
                <c:pt idx="714">
                  <c:v>0.8649999999999749</c:v>
                </c:pt>
                <c:pt idx="715">
                  <c:v>0.86249999999997484</c:v>
                </c:pt>
                <c:pt idx="716">
                  <c:v>0.8599999999999749</c:v>
                </c:pt>
                <c:pt idx="717">
                  <c:v>0.85749999999997484</c:v>
                </c:pt>
                <c:pt idx="718">
                  <c:v>0.85499999999997489</c:v>
                </c:pt>
                <c:pt idx="719">
                  <c:v>0.85249999999997483</c:v>
                </c:pt>
                <c:pt idx="720">
                  <c:v>0.84999999999997489</c:v>
                </c:pt>
                <c:pt idx="721">
                  <c:v>0.84749999999997483</c:v>
                </c:pt>
                <c:pt idx="722">
                  <c:v>0.84499999999997488</c:v>
                </c:pt>
                <c:pt idx="723">
                  <c:v>0.84249999999997494</c:v>
                </c:pt>
                <c:pt idx="724">
                  <c:v>0.83999999999997488</c:v>
                </c:pt>
                <c:pt idx="725">
                  <c:v>0.83749999999997493</c:v>
                </c:pt>
                <c:pt idx="726">
                  <c:v>0.83499999999997487</c:v>
                </c:pt>
                <c:pt idx="727">
                  <c:v>0.83249999999997493</c:v>
                </c:pt>
                <c:pt idx="728">
                  <c:v>0.82999999999997487</c:v>
                </c:pt>
                <c:pt idx="729">
                  <c:v>0.82749999999997492</c:v>
                </c:pt>
                <c:pt idx="730">
                  <c:v>0.82499999999997486</c:v>
                </c:pt>
                <c:pt idx="731">
                  <c:v>0.82249999999997492</c:v>
                </c:pt>
                <c:pt idx="732">
                  <c:v>0.81999999999997486</c:v>
                </c:pt>
                <c:pt idx="733">
                  <c:v>0.81749999999997491</c:v>
                </c:pt>
                <c:pt idx="734">
                  <c:v>0.81499999999997486</c:v>
                </c:pt>
                <c:pt idx="735">
                  <c:v>0.81249999999997491</c:v>
                </c:pt>
                <c:pt idx="736">
                  <c:v>0.80999999999997485</c:v>
                </c:pt>
                <c:pt idx="737">
                  <c:v>0.8074999999999749</c:v>
                </c:pt>
                <c:pt idx="738">
                  <c:v>0.80499999999997485</c:v>
                </c:pt>
                <c:pt idx="739">
                  <c:v>0.8024999999999749</c:v>
                </c:pt>
                <c:pt idx="740">
                  <c:v>0.79999999999997484</c:v>
                </c:pt>
                <c:pt idx="741">
                  <c:v>0.7974999999999749</c:v>
                </c:pt>
                <c:pt idx="742">
                  <c:v>0.79499999999997484</c:v>
                </c:pt>
                <c:pt idx="743">
                  <c:v>0.79249999999997489</c:v>
                </c:pt>
                <c:pt idx="744">
                  <c:v>0.78999999999997483</c:v>
                </c:pt>
                <c:pt idx="745">
                  <c:v>0.78749999999997489</c:v>
                </c:pt>
                <c:pt idx="746">
                  <c:v>0.78499999999997483</c:v>
                </c:pt>
                <c:pt idx="747">
                  <c:v>0.78249999999997488</c:v>
                </c:pt>
                <c:pt idx="748">
                  <c:v>0.77999999999997494</c:v>
                </c:pt>
                <c:pt idx="749">
                  <c:v>0.77749999999997488</c:v>
                </c:pt>
                <c:pt idx="750">
                  <c:v>0.77499999999997493</c:v>
                </c:pt>
                <c:pt idx="751">
                  <c:v>0.77249999999997487</c:v>
                </c:pt>
                <c:pt idx="752">
                  <c:v>0.76999999999997493</c:v>
                </c:pt>
                <c:pt idx="753">
                  <c:v>0.76749999999997487</c:v>
                </c:pt>
                <c:pt idx="754">
                  <c:v>0.76499999999997492</c:v>
                </c:pt>
                <c:pt idx="755">
                  <c:v>0.76249999999997486</c:v>
                </c:pt>
                <c:pt idx="756">
                  <c:v>0.75999999999997492</c:v>
                </c:pt>
                <c:pt idx="757">
                  <c:v>0.75749999999997486</c:v>
                </c:pt>
                <c:pt idx="758">
                  <c:v>0.75499999999997491</c:v>
                </c:pt>
                <c:pt idx="759">
                  <c:v>0.75249999999997486</c:v>
                </c:pt>
                <c:pt idx="760">
                  <c:v>0.74999999999997491</c:v>
                </c:pt>
                <c:pt idx="761">
                  <c:v>0.74749999999997485</c:v>
                </c:pt>
                <c:pt idx="762">
                  <c:v>0.7449999999999749</c:v>
                </c:pt>
                <c:pt idx="763">
                  <c:v>0.74249999999997485</c:v>
                </c:pt>
                <c:pt idx="764">
                  <c:v>0.7399999999999749</c:v>
                </c:pt>
                <c:pt idx="765">
                  <c:v>0.73749999999997484</c:v>
                </c:pt>
                <c:pt idx="766">
                  <c:v>0.7349999999999749</c:v>
                </c:pt>
                <c:pt idx="767">
                  <c:v>0.73249999999997484</c:v>
                </c:pt>
                <c:pt idx="768">
                  <c:v>0.72999999999997489</c:v>
                </c:pt>
                <c:pt idx="769">
                  <c:v>0.72749999999997483</c:v>
                </c:pt>
                <c:pt idx="770">
                  <c:v>0.72499999999997489</c:v>
                </c:pt>
                <c:pt idx="771">
                  <c:v>0.72249999999996972</c:v>
                </c:pt>
                <c:pt idx="772">
                  <c:v>0.71999999999997488</c:v>
                </c:pt>
                <c:pt idx="773">
                  <c:v>0.71749999999997494</c:v>
                </c:pt>
                <c:pt idx="774">
                  <c:v>0.71499999999997488</c:v>
                </c:pt>
                <c:pt idx="775">
                  <c:v>0.71249999999996994</c:v>
                </c:pt>
                <c:pt idx="776">
                  <c:v>0.70999999999996977</c:v>
                </c:pt>
                <c:pt idx="777">
                  <c:v>0.70749999999997493</c:v>
                </c:pt>
                <c:pt idx="778">
                  <c:v>0.70499999999996987</c:v>
                </c:pt>
                <c:pt idx="779">
                  <c:v>0.70249999999996993</c:v>
                </c:pt>
                <c:pt idx="780">
                  <c:v>0.69999999999996987</c:v>
                </c:pt>
                <c:pt idx="781">
                  <c:v>0.69749999999996981</c:v>
                </c:pt>
                <c:pt idx="782">
                  <c:v>0.69499999999997009</c:v>
                </c:pt>
                <c:pt idx="783">
                  <c:v>0.69249999999996992</c:v>
                </c:pt>
                <c:pt idx="784">
                  <c:v>0.68999999999996986</c:v>
                </c:pt>
                <c:pt idx="785">
                  <c:v>0.68749999999996991</c:v>
                </c:pt>
                <c:pt idx="786">
                  <c:v>0.68499999999996974</c:v>
                </c:pt>
                <c:pt idx="787">
                  <c:v>0.68249999999997002</c:v>
                </c:pt>
                <c:pt idx="788">
                  <c:v>0.67999999999996985</c:v>
                </c:pt>
                <c:pt idx="789">
                  <c:v>0.6774999999999699</c:v>
                </c:pt>
                <c:pt idx="790">
                  <c:v>0.67499999999996996</c:v>
                </c:pt>
                <c:pt idx="791">
                  <c:v>0.67249999999996979</c:v>
                </c:pt>
                <c:pt idx="792">
                  <c:v>0.66999999999997006</c:v>
                </c:pt>
                <c:pt idx="793">
                  <c:v>0.6674999999999699</c:v>
                </c:pt>
                <c:pt idx="794">
                  <c:v>0.66499999999996995</c:v>
                </c:pt>
                <c:pt idx="795">
                  <c:v>0.66249999999996989</c:v>
                </c:pt>
                <c:pt idx="796">
                  <c:v>0.65999999999996972</c:v>
                </c:pt>
                <c:pt idx="797">
                  <c:v>0.65749999999997</c:v>
                </c:pt>
                <c:pt idx="798">
                  <c:v>0.65499999999996994</c:v>
                </c:pt>
                <c:pt idx="799">
                  <c:v>0.65249999999996988</c:v>
                </c:pt>
                <c:pt idx="800">
                  <c:v>0.64999999999996994</c:v>
                </c:pt>
                <c:pt idx="801">
                  <c:v>0.64749999999996977</c:v>
                </c:pt>
                <c:pt idx="802">
                  <c:v>0.64499999999997004</c:v>
                </c:pt>
                <c:pt idx="803">
                  <c:v>0.64249999999996987</c:v>
                </c:pt>
                <c:pt idx="804">
                  <c:v>0.63999999999996993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7-4B42-8515-35B83FD69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68800"/>
        <c:axId val="454266400"/>
      </c:scatterChart>
      <c:valAx>
        <c:axId val="45426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4266400"/>
        <c:crosses val="autoZero"/>
        <c:crossBetween val="midCat"/>
      </c:valAx>
      <c:valAx>
        <c:axId val="4542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426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</xdr:row>
      <xdr:rowOff>9525</xdr:rowOff>
    </xdr:from>
    <xdr:to>
      <xdr:col>19</xdr:col>
      <xdr:colOff>495300</xdr:colOff>
      <xdr:row>17</xdr:row>
      <xdr:rowOff>28575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3B96CE1-3169-4D50-967F-0A05F9964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10886</xdr:colOff>
      <xdr:row>8</xdr:row>
      <xdr:rowOff>160563</xdr:rowOff>
    </xdr:from>
    <xdr:to>
      <xdr:col>17</xdr:col>
      <xdr:colOff>315686</xdr:colOff>
      <xdr:row>23</xdr:row>
      <xdr:rowOff>46263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9783FB1-AED8-780E-2F65-973FB5BD5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Zeszy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Zeszy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kusz1"/>
    </sheetNames>
    <sheetDataSet>
      <sheetData sheetId="0">
        <row r="1">
          <cell r="J1" t="str">
            <v>uout</v>
          </cell>
        </row>
        <row r="2">
          <cell r="G2">
            <v>-20</v>
          </cell>
          <cell r="J2">
            <v>3.2352384479134706</v>
          </cell>
        </row>
        <row r="3">
          <cell r="G3">
            <v>-15</v>
          </cell>
          <cell r="J3">
            <v>3.2128946372542524</v>
          </cell>
        </row>
        <row r="4">
          <cell r="G4">
            <v>-10</v>
          </cell>
          <cell r="J4">
            <v>3.1844137103615688</v>
          </cell>
        </row>
        <row r="5">
          <cell r="G5">
            <v>-5</v>
          </cell>
          <cell r="J5">
            <v>3.1486438299697053</v>
          </cell>
        </row>
        <row r="6">
          <cell r="G6">
            <v>0</v>
          </cell>
          <cell r="J6">
            <v>3.1043930865505431</v>
          </cell>
        </row>
        <row r="7">
          <cell r="G7">
            <v>5</v>
          </cell>
          <cell r="J7">
            <v>3.0504940831543346</v>
          </cell>
        </row>
        <row r="8">
          <cell r="G8">
            <v>10</v>
          </cell>
          <cell r="J8">
            <v>2.9858885422966739</v>
          </cell>
        </row>
        <row r="9">
          <cell r="G9">
            <v>15</v>
          </cell>
          <cell r="J9">
            <v>2.9097283274643</v>
          </cell>
        </row>
        <row r="10">
          <cell r="G10">
            <v>20</v>
          </cell>
          <cell r="J10">
            <v>2.821484674233258</v>
          </cell>
        </row>
        <row r="11">
          <cell r="G11">
            <v>25</v>
          </cell>
          <cell r="J11">
            <v>2.7210526315789472</v>
          </cell>
        </row>
        <row r="12">
          <cell r="G12">
            <v>30</v>
          </cell>
          <cell r="J12">
            <v>2.6088341118192102</v>
          </cell>
        </row>
        <row r="13">
          <cell r="G13">
            <v>35</v>
          </cell>
          <cell r="J13">
            <v>2.4857822012261335</v>
          </cell>
        </row>
        <row r="14">
          <cell r="G14">
            <v>40</v>
          </cell>
          <cell r="J14">
            <v>2.3533928041709387</v>
          </cell>
        </row>
        <row r="15">
          <cell r="G15">
            <v>45</v>
          </cell>
          <cell r="J15">
            <v>2.2136374729238422</v>
          </cell>
        </row>
        <row r="16">
          <cell r="G16">
            <v>50</v>
          </cell>
          <cell r="J16">
            <v>2.0688419873731188</v>
          </cell>
        </row>
        <row r="17">
          <cell r="G17">
            <v>55</v>
          </cell>
          <cell r="J17">
            <v>1.9215260518459123</v>
          </cell>
        </row>
        <row r="18">
          <cell r="G18">
            <v>60</v>
          </cell>
          <cell r="J18">
            <v>1.7742271052871876</v>
          </cell>
        </row>
        <row r="19">
          <cell r="G19">
            <v>65</v>
          </cell>
          <cell r="J19">
            <v>1.629333375578784</v>
          </cell>
        </row>
        <row r="20">
          <cell r="G20">
            <v>70</v>
          </cell>
          <cell r="J20">
            <v>1.4889475674422539</v>
          </cell>
        </row>
        <row r="21">
          <cell r="G21">
            <v>75</v>
          </cell>
          <cell r="J21">
            <v>1.3547945752429937</v>
          </cell>
        </row>
        <row r="22">
          <cell r="G22">
            <v>80</v>
          </cell>
          <cell r="J22">
            <v>1.2281771204394902</v>
          </cell>
        </row>
        <row r="23">
          <cell r="G23">
            <v>85</v>
          </cell>
          <cell r="J23">
            <v>1.1099749155794145</v>
          </cell>
        </row>
        <row r="24">
          <cell r="G24">
            <v>90</v>
          </cell>
          <cell r="J24">
            <v>1.0006775400942014</v>
          </cell>
        </row>
        <row r="25">
          <cell r="G25">
            <v>95</v>
          </cell>
          <cell r="J25">
            <v>0.90043908555385799</v>
          </cell>
        </row>
        <row r="26">
          <cell r="G26">
            <v>100</v>
          </cell>
          <cell r="J26">
            <v>0.80914320318389032</v>
          </cell>
        </row>
        <row r="27">
          <cell r="G27">
            <v>105</v>
          </cell>
          <cell r="J27">
            <v>0.72646941583618996</v>
          </cell>
        </row>
        <row r="28">
          <cell r="G28">
            <v>110</v>
          </cell>
          <cell r="J28">
            <v>0.65195440459246712</v>
          </cell>
        </row>
        <row r="29">
          <cell r="G29">
            <v>115</v>
          </cell>
          <cell r="J29">
            <v>0.58504469291222438</v>
          </cell>
        </row>
        <row r="30">
          <cell r="G30">
            <v>120</v>
          </cell>
          <cell r="J30">
            <v>0.52513932143561037</v>
          </cell>
        </row>
        <row r="31">
          <cell r="G31">
            <v>125</v>
          </cell>
          <cell r="J31">
            <v>0.47162261141513984</v>
          </cell>
        </row>
        <row r="32">
          <cell r="G32">
            <v>130</v>
          </cell>
          <cell r="J32">
            <v>0.42388800956189304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kusz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pl/ProductDetail/Texas-Instruments/LMR51610YDBVR?qs=sGAEpiMZZMvAX9OfPh%252B2NSM3AxpIzmi00gYVKQJvqx%2F6GBd8VBMoT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1"/>
  <sheetViews>
    <sheetView topLeftCell="B1" zoomScale="190" zoomScaleNormal="190" workbookViewId="0">
      <selection activeCell="E19" sqref="E19"/>
    </sheetView>
  </sheetViews>
  <sheetFormatPr defaultRowHeight="15" x14ac:dyDescent="0.25"/>
  <cols>
    <col min="9" max="9" width="6.28515625" customWidth="1"/>
    <col min="13" max="13" width="5.7109375" customWidth="1"/>
    <col min="15" max="15" width="15.42578125" customWidth="1"/>
    <col min="16" max="16" width="5.7109375" customWidth="1"/>
  </cols>
  <sheetData>
    <row r="2" spans="2:17" ht="15.75" thickBot="1" x14ac:dyDescent="0.3"/>
    <row r="3" spans="2:17" ht="15.75" thickBot="1" x14ac:dyDescent="0.3">
      <c r="B3" s="2" t="s">
        <v>6</v>
      </c>
      <c r="C3" s="4"/>
      <c r="G3" t="s">
        <v>3</v>
      </c>
    </row>
    <row r="4" spans="2:17" x14ac:dyDescent="0.25">
      <c r="B4" s="5" t="s">
        <v>7</v>
      </c>
      <c r="C4" s="6">
        <v>48</v>
      </c>
      <c r="G4" s="2" t="s">
        <v>21</v>
      </c>
      <c r="H4" s="3">
        <v>15</v>
      </c>
      <c r="I4" s="4" t="s">
        <v>9</v>
      </c>
      <c r="K4" s="2" t="s">
        <v>13</v>
      </c>
      <c r="L4" s="10">
        <f>SUM(H7:H10)</f>
        <v>2.1300000000000001E-7</v>
      </c>
      <c r="M4" s="4" t="s">
        <v>12</v>
      </c>
      <c r="O4" t="s">
        <v>26</v>
      </c>
      <c r="P4">
        <f>L8*H5</f>
        <v>42</v>
      </c>
      <c r="Q4" t="s">
        <v>20</v>
      </c>
    </row>
    <row r="5" spans="2:17" x14ac:dyDescent="0.25">
      <c r="B5" s="5" t="s">
        <v>8</v>
      </c>
      <c r="C5" s="6">
        <v>20</v>
      </c>
      <c r="G5" s="5" t="s">
        <v>17</v>
      </c>
      <c r="H5">
        <v>20</v>
      </c>
      <c r="I5" s="6" t="s">
        <v>10</v>
      </c>
      <c r="K5" s="5" t="s">
        <v>14</v>
      </c>
      <c r="L5" s="1">
        <f>1/L4</f>
        <v>4694835.6807511738</v>
      </c>
      <c r="M5" s="6" t="s">
        <v>15</v>
      </c>
      <c r="O5" t="s">
        <v>27</v>
      </c>
      <c r="P5" s="1">
        <f>C7*H11</f>
        <v>4.4000000000000004</v>
      </c>
      <c r="Q5" t="s">
        <v>20</v>
      </c>
    </row>
    <row r="6" spans="2:17" ht="15.75" thickBot="1" x14ac:dyDescent="0.3">
      <c r="B6" s="5" t="s">
        <v>34</v>
      </c>
      <c r="C6" s="6">
        <f>C4*C5</f>
        <v>960</v>
      </c>
      <c r="G6" s="7" t="s">
        <v>0</v>
      </c>
      <c r="H6" s="8">
        <v>4.8E-8</v>
      </c>
      <c r="I6" s="9" t="s">
        <v>11</v>
      </c>
      <c r="K6" s="5" t="s">
        <v>36</v>
      </c>
      <c r="L6">
        <v>10</v>
      </c>
      <c r="M6" s="6" t="s">
        <v>19</v>
      </c>
    </row>
    <row r="7" spans="2:17" ht="15.75" thickBot="1" x14ac:dyDescent="0.3">
      <c r="B7" s="7" t="s">
        <v>28</v>
      </c>
      <c r="C7" s="17">
        <v>20000</v>
      </c>
      <c r="G7" s="2" t="s">
        <v>5</v>
      </c>
      <c r="H7" s="10">
        <v>2E-8</v>
      </c>
      <c r="I7" s="4" t="s">
        <v>12</v>
      </c>
      <c r="K7" s="7" t="s">
        <v>16</v>
      </c>
      <c r="L7" s="16">
        <f>H4/L6</f>
        <v>1.5</v>
      </c>
      <c r="M7" s="9" t="s">
        <v>10</v>
      </c>
      <c r="O7" t="s">
        <v>31</v>
      </c>
    </row>
    <row r="8" spans="2:17" ht="15.75" thickBot="1" x14ac:dyDescent="0.3">
      <c r="G8" s="5" t="s">
        <v>1</v>
      </c>
      <c r="H8" s="1">
        <v>1.0999999999999999E-8</v>
      </c>
      <c r="I8" s="6" t="s">
        <v>12</v>
      </c>
      <c r="K8" s="11" t="s">
        <v>25</v>
      </c>
      <c r="L8" s="12">
        <v>2.1</v>
      </c>
      <c r="M8" s="13" t="s">
        <v>9</v>
      </c>
      <c r="O8" t="s">
        <v>32</v>
      </c>
    </row>
    <row r="9" spans="2:17" x14ac:dyDescent="0.25">
      <c r="G9" s="5" t="s">
        <v>2</v>
      </c>
      <c r="H9" s="1">
        <v>1.6500000000000001E-7</v>
      </c>
      <c r="I9" s="6" t="s">
        <v>12</v>
      </c>
      <c r="K9" s="2" t="s">
        <v>18</v>
      </c>
      <c r="L9" s="3">
        <f>L8/H5</f>
        <v>0.10500000000000001</v>
      </c>
      <c r="M9" s="4" t="s">
        <v>19</v>
      </c>
    </row>
    <row r="10" spans="2:17" ht="15.75" thickBot="1" x14ac:dyDescent="0.3">
      <c r="G10" s="7" t="s">
        <v>4</v>
      </c>
      <c r="H10" s="8">
        <v>1.7E-8</v>
      </c>
      <c r="I10" s="9" t="s">
        <v>12</v>
      </c>
      <c r="K10" s="7" t="s">
        <v>24</v>
      </c>
      <c r="L10" s="16">
        <f>P4*H12</f>
        <v>50.4</v>
      </c>
      <c r="M10" s="9"/>
      <c r="O10" t="s">
        <v>33</v>
      </c>
      <c r="P10">
        <f>(P4+P5)*6</f>
        <v>278.39999999999998</v>
      </c>
    </row>
    <row r="11" spans="2:17" ht="15.75" thickBot="1" x14ac:dyDescent="0.3">
      <c r="G11" s="11" t="s">
        <v>29</v>
      </c>
      <c r="H11" s="14">
        <v>2.2000000000000001E-4</v>
      </c>
      <c r="I11" s="13" t="s">
        <v>30</v>
      </c>
      <c r="O11" t="s">
        <v>35</v>
      </c>
      <c r="P11" s="15">
        <f>C6/(C6+P10)</f>
        <v>0.77519379844961234</v>
      </c>
    </row>
    <row r="12" spans="2:17" x14ac:dyDescent="0.25">
      <c r="G12" t="s">
        <v>22</v>
      </c>
      <c r="H12" s="1">
        <v>1.2</v>
      </c>
      <c r="I12" t="s">
        <v>23</v>
      </c>
    </row>
    <row r="15" spans="2:17" x14ac:dyDescent="0.25">
      <c r="H15" t="s">
        <v>39</v>
      </c>
      <c r="I15" s="1">
        <v>6.2000000000000001E-9</v>
      </c>
    </row>
    <row r="16" spans="2:17" x14ac:dyDescent="0.25">
      <c r="H16" t="s">
        <v>40</v>
      </c>
      <c r="I16">
        <f>0.000000004</f>
        <v>4.0000000000000002E-9</v>
      </c>
      <c r="K16" t="s">
        <v>41</v>
      </c>
      <c r="L16">
        <f>I15/I16</f>
        <v>1.5499999999999998</v>
      </c>
    </row>
    <row r="21" spans="2:3" x14ac:dyDescent="0.25">
      <c r="B21" t="s">
        <v>37</v>
      </c>
      <c r="C2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1156-81CB-46C4-9854-CFE67F82DA4A}">
  <dimension ref="A1:K34"/>
  <sheetViews>
    <sheetView workbookViewId="0">
      <selection activeCell="J35" sqref="J35"/>
    </sheetView>
  </sheetViews>
  <sheetFormatPr defaultRowHeight="15" x14ac:dyDescent="0.25"/>
  <cols>
    <col min="2" max="2" width="11.140625" customWidth="1"/>
    <col min="3" max="3" width="12" bestFit="1" customWidth="1"/>
    <col min="11" max="11" width="9.42578125" bestFit="1" customWidth="1"/>
  </cols>
  <sheetData>
    <row r="1" spans="1:11" x14ac:dyDescent="0.25">
      <c r="A1" t="s">
        <v>42</v>
      </c>
      <c r="B1" s="1">
        <v>10000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25">
      <c r="A2" t="s">
        <v>48</v>
      </c>
      <c r="B2" s="1">
        <v>47000</v>
      </c>
      <c r="G2">
        <v>-20</v>
      </c>
      <c r="H2" s="1">
        <f>$B$2*EXP($B$6*(1/(G2+273)-1/($B$7+273)))</f>
        <v>499561.59846057848</v>
      </c>
      <c r="I2">
        <f>H2/1000</f>
        <v>499.56159846057847</v>
      </c>
      <c r="J2" s="18">
        <f>$B$3*H2/($B$1+H2)</f>
        <v>3.2352384479134706</v>
      </c>
    </row>
    <row r="3" spans="1:11" x14ac:dyDescent="0.25">
      <c r="A3" t="s">
        <v>49</v>
      </c>
      <c r="B3">
        <v>3.3</v>
      </c>
      <c r="G3">
        <v>-15</v>
      </c>
      <c r="H3" s="1">
        <f t="shared" ref="H3:H32" si="0">$B$2*EXP($B$6*(1/(G3+273)-1/($B$7+273)))</f>
        <v>368851.53060350643</v>
      </c>
      <c r="I3">
        <f t="shared" ref="I3:I32" si="1">H3/1000</f>
        <v>368.85153060350643</v>
      </c>
      <c r="J3" s="18">
        <f t="shared" ref="J3:J32" si="2">$B$3*H3/($B$1+H3)</f>
        <v>3.2128946372542524</v>
      </c>
      <c r="K3" s="18">
        <f>ABS(J3-J2)</f>
        <v>2.23438106592182E-2</v>
      </c>
    </row>
    <row r="4" spans="1:11" x14ac:dyDescent="0.25">
      <c r="A4" t="s">
        <v>50</v>
      </c>
      <c r="B4" s="1">
        <f>B3/(B1+B2)</f>
        <v>5.789473684210526E-5</v>
      </c>
      <c r="C4">
        <f>B4*1000</f>
        <v>5.7894736842105263E-2</v>
      </c>
      <c r="G4">
        <v>-10</v>
      </c>
      <c r="H4" s="1">
        <f t="shared" si="0"/>
        <v>275500.98894279118</v>
      </c>
      <c r="I4">
        <f t="shared" si="1"/>
        <v>275.5009889427912</v>
      </c>
      <c r="J4" s="18">
        <f t="shared" si="2"/>
        <v>3.1844137103615688</v>
      </c>
      <c r="K4" s="18">
        <f t="shared" ref="K4:K32" si="3">ABS(J4-J3)</f>
        <v>2.8480926892683556E-2</v>
      </c>
    </row>
    <row r="5" spans="1:11" x14ac:dyDescent="0.25">
      <c r="A5" t="s">
        <v>51</v>
      </c>
      <c r="B5">
        <f>B4*B2</f>
        <v>2.7210526315789472</v>
      </c>
      <c r="G5">
        <v>-5</v>
      </c>
      <c r="H5" s="1">
        <f t="shared" si="0"/>
        <v>208028.7727510212</v>
      </c>
      <c r="I5">
        <f t="shared" si="1"/>
        <v>208.02877275102119</v>
      </c>
      <c r="J5" s="18">
        <f t="shared" si="2"/>
        <v>3.1486438299697053</v>
      </c>
      <c r="K5" s="18">
        <f t="shared" si="3"/>
        <v>3.5769880391863573E-2</v>
      </c>
    </row>
    <row r="6" spans="1:11" x14ac:dyDescent="0.25">
      <c r="A6" t="s">
        <v>52</v>
      </c>
      <c r="B6">
        <v>3960</v>
      </c>
      <c r="G6">
        <v>0</v>
      </c>
      <c r="H6" s="1">
        <f t="shared" si="0"/>
        <v>158705.69356704748</v>
      </c>
      <c r="I6">
        <f t="shared" si="1"/>
        <v>158.70569356704749</v>
      </c>
      <c r="J6" s="18">
        <f t="shared" si="2"/>
        <v>3.1043930865505431</v>
      </c>
      <c r="K6" s="18">
        <f t="shared" si="3"/>
        <v>4.4250743419162131E-2</v>
      </c>
    </row>
    <row r="7" spans="1:11" x14ac:dyDescent="0.25">
      <c r="A7" t="s">
        <v>53</v>
      </c>
      <c r="B7">
        <v>25</v>
      </c>
      <c r="G7">
        <v>5</v>
      </c>
      <c r="H7" s="1">
        <f t="shared" si="0"/>
        <v>122261.39250402014</v>
      </c>
      <c r="I7">
        <f t="shared" si="1"/>
        <v>122.26139250402014</v>
      </c>
      <c r="J7" s="18">
        <f t="shared" si="2"/>
        <v>3.0504940831543346</v>
      </c>
      <c r="K7" s="18">
        <f t="shared" si="3"/>
        <v>5.3899003396208567E-2</v>
      </c>
    </row>
    <row r="8" spans="1:11" x14ac:dyDescent="0.25">
      <c r="A8" t="s">
        <v>54</v>
      </c>
      <c r="B8">
        <v>100</v>
      </c>
      <c r="G8">
        <v>10</v>
      </c>
      <c r="H8" s="1">
        <f t="shared" si="0"/>
        <v>95058.249836808158</v>
      </c>
      <c r="I8">
        <f t="shared" si="1"/>
        <v>95.058249836808159</v>
      </c>
      <c r="J8" s="18">
        <f t="shared" si="2"/>
        <v>2.9858885422966739</v>
      </c>
      <c r="K8" s="18">
        <f t="shared" si="3"/>
        <v>6.4605540857660682E-2</v>
      </c>
    </row>
    <row r="9" spans="1:11" x14ac:dyDescent="0.25">
      <c r="G9">
        <v>15</v>
      </c>
      <c r="H9" s="1">
        <f t="shared" si="0"/>
        <v>74556.482886882673</v>
      </c>
      <c r="I9">
        <f t="shared" si="1"/>
        <v>74.556482886882677</v>
      </c>
      <c r="J9" s="18">
        <f t="shared" si="2"/>
        <v>2.9097283274643</v>
      </c>
      <c r="K9" s="18">
        <f t="shared" si="3"/>
        <v>7.6160214832373896E-2</v>
      </c>
    </row>
    <row r="10" spans="1:11" x14ac:dyDescent="0.25">
      <c r="A10" s="19"/>
      <c r="G10">
        <v>20</v>
      </c>
      <c r="H10" s="1">
        <f t="shared" si="0"/>
        <v>58963.308431392412</v>
      </c>
      <c r="I10">
        <f t="shared" si="1"/>
        <v>58.963308431392413</v>
      </c>
      <c r="J10" s="18">
        <f t="shared" si="2"/>
        <v>2.821484674233258</v>
      </c>
      <c r="K10" s="18">
        <f t="shared" si="3"/>
        <v>8.8243653231041996E-2</v>
      </c>
    </row>
    <row r="11" spans="1:11" x14ac:dyDescent="0.25">
      <c r="G11">
        <v>25</v>
      </c>
      <c r="H11" s="1">
        <f t="shared" si="0"/>
        <v>47000</v>
      </c>
      <c r="I11">
        <f t="shared" si="1"/>
        <v>47</v>
      </c>
      <c r="J11" s="18">
        <f t="shared" si="2"/>
        <v>2.7210526315789472</v>
      </c>
      <c r="K11" s="18">
        <f t="shared" si="3"/>
        <v>0.10043204265431083</v>
      </c>
    </row>
    <row r="12" spans="1:11" x14ac:dyDescent="0.25">
      <c r="G12">
        <v>30</v>
      </c>
      <c r="H12" s="1">
        <f t="shared" si="0"/>
        <v>37745.411867560397</v>
      </c>
      <c r="I12">
        <f t="shared" si="1"/>
        <v>37.745411867560399</v>
      </c>
      <c r="J12" s="18">
        <f t="shared" si="2"/>
        <v>2.6088341118192102</v>
      </c>
      <c r="K12" s="18">
        <f t="shared" si="3"/>
        <v>0.11221851975973696</v>
      </c>
    </row>
    <row r="13" spans="1:11" x14ac:dyDescent="0.25">
      <c r="G13">
        <v>35</v>
      </c>
      <c r="H13" s="1">
        <f t="shared" si="0"/>
        <v>30529.696169372415</v>
      </c>
      <c r="I13">
        <f t="shared" si="1"/>
        <v>30.529696169372414</v>
      </c>
      <c r="J13" s="18">
        <f t="shared" si="2"/>
        <v>2.4857822012261335</v>
      </c>
      <c r="K13" s="18">
        <f t="shared" si="3"/>
        <v>0.12305191059307674</v>
      </c>
    </row>
    <row r="14" spans="1:11" x14ac:dyDescent="0.25">
      <c r="G14">
        <v>40</v>
      </c>
      <c r="H14" s="1">
        <f t="shared" si="0"/>
        <v>24861.344964843425</v>
      </c>
      <c r="I14">
        <f t="shared" si="1"/>
        <v>24.861344964843425</v>
      </c>
      <c r="J14" s="18">
        <f t="shared" si="2"/>
        <v>2.3533928041709387</v>
      </c>
      <c r="K14" s="18">
        <f t="shared" si="3"/>
        <v>0.13238939705519481</v>
      </c>
    </row>
    <row r="15" spans="1:11" x14ac:dyDescent="0.25">
      <c r="G15">
        <v>45</v>
      </c>
      <c r="H15" s="1">
        <f t="shared" si="0"/>
        <v>20376.600055247116</v>
      </c>
      <c r="I15">
        <f t="shared" si="1"/>
        <v>20.376600055247117</v>
      </c>
      <c r="J15" s="18">
        <f t="shared" si="2"/>
        <v>2.2136374729238422</v>
      </c>
      <c r="K15" s="18">
        <f t="shared" si="3"/>
        <v>0.13975533124709649</v>
      </c>
    </row>
    <row r="16" spans="1:11" x14ac:dyDescent="0.25">
      <c r="G16">
        <v>50</v>
      </c>
      <c r="H16" s="1">
        <f t="shared" si="0"/>
        <v>16804.033001084066</v>
      </c>
      <c r="I16">
        <f t="shared" si="1"/>
        <v>16.804033001084065</v>
      </c>
      <c r="J16" s="18">
        <f t="shared" si="2"/>
        <v>2.0688419873731188</v>
      </c>
      <c r="K16" s="18">
        <f t="shared" si="3"/>
        <v>0.14479548555072341</v>
      </c>
    </row>
    <row r="17" spans="1:11" x14ac:dyDescent="0.25">
      <c r="G17">
        <v>55</v>
      </c>
      <c r="H17" s="1">
        <f t="shared" si="0"/>
        <v>13939.51662575143</v>
      </c>
      <c r="I17">
        <f t="shared" si="1"/>
        <v>13.93951662575143</v>
      </c>
      <c r="J17" s="18">
        <f t="shared" si="2"/>
        <v>1.9215260518459123</v>
      </c>
      <c r="K17" s="18">
        <f t="shared" si="3"/>
        <v>0.14731593552720645</v>
      </c>
    </row>
    <row r="18" spans="1:11" x14ac:dyDescent="0.25">
      <c r="G18">
        <v>60</v>
      </c>
      <c r="H18" s="1">
        <f t="shared" si="0"/>
        <v>11628.382647478744</v>
      </c>
      <c r="I18">
        <f t="shared" si="1"/>
        <v>11.628382647478745</v>
      </c>
      <c r="J18" s="18">
        <f t="shared" si="2"/>
        <v>1.7742271052871876</v>
      </c>
      <c r="K18" s="18">
        <f t="shared" si="3"/>
        <v>0.14729894655872466</v>
      </c>
    </row>
    <row r="19" spans="1:11" x14ac:dyDescent="0.25">
      <c r="G19">
        <v>65</v>
      </c>
      <c r="H19" s="1">
        <f t="shared" si="0"/>
        <v>9752.594274415751</v>
      </c>
      <c r="I19">
        <f t="shared" si="1"/>
        <v>9.7525942744157508</v>
      </c>
      <c r="J19" s="18">
        <f t="shared" si="2"/>
        <v>1.629333375578784</v>
      </c>
      <c r="K19" s="18">
        <f t="shared" si="3"/>
        <v>0.14489372970840364</v>
      </c>
    </row>
    <row r="20" spans="1:11" x14ac:dyDescent="0.25">
      <c r="G20">
        <v>70</v>
      </c>
      <c r="H20" s="1">
        <f t="shared" si="0"/>
        <v>8221.4492561069364</v>
      </c>
      <c r="I20">
        <f t="shared" si="1"/>
        <v>8.2214492561069363</v>
      </c>
      <c r="J20" s="18">
        <f t="shared" si="2"/>
        <v>1.4889475674422539</v>
      </c>
      <c r="K20" s="18">
        <f t="shared" si="3"/>
        <v>0.14038580813653012</v>
      </c>
    </row>
    <row r="21" spans="1:11" x14ac:dyDescent="0.25">
      <c r="A21" t="s">
        <v>50</v>
      </c>
      <c r="B21">
        <v>20</v>
      </c>
      <c r="G21">
        <v>75</v>
      </c>
      <c r="H21" s="1">
        <f t="shared" si="0"/>
        <v>6964.7892094082217</v>
      </c>
      <c r="I21">
        <f t="shared" si="1"/>
        <v>6.964789209408222</v>
      </c>
      <c r="J21" s="18">
        <f t="shared" si="2"/>
        <v>1.3547945752429937</v>
      </c>
      <c r="K21" s="18">
        <f t="shared" si="3"/>
        <v>0.13415299219926013</v>
      </c>
    </row>
    <row r="22" spans="1:11" x14ac:dyDescent="0.25">
      <c r="A22" t="s">
        <v>44</v>
      </c>
      <c r="B22">
        <v>0.01</v>
      </c>
      <c r="G22">
        <v>80</v>
      </c>
      <c r="H22" s="1">
        <f t="shared" si="0"/>
        <v>5928.0024974915805</v>
      </c>
      <c r="I22">
        <f t="shared" si="1"/>
        <v>5.9280024974915806</v>
      </c>
      <c r="J22" s="18">
        <f t="shared" si="2"/>
        <v>1.2281771204394902</v>
      </c>
      <c r="K22" s="18">
        <f t="shared" si="3"/>
        <v>0.1266174548035035</v>
      </c>
    </row>
    <row r="23" spans="1:11" x14ac:dyDescent="0.25">
      <c r="A23" t="s">
        <v>51</v>
      </c>
      <c r="B23">
        <f>B21^2*B22</f>
        <v>4</v>
      </c>
      <c r="G23">
        <v>85</v>
      </c>
      <c r="H23" s="1">
        <f t="shared" si="0"/>
        <v>5068.3205570363607</v>
      </c>
      <c r="I23">
        <f t="shared" si="1"/>
        <v>5.068320557036361</v>
      </c>
      <c r="J23" s="18">
        <f t="shared" si="2"/>
        <v>1.1099749155794145</v>
      </c>
      <c r="K23" s="18">
        <f t="shared" si="3"/>
        <v>0.11820220486007571</v>
      </c>
    </row>
    <row r="24" spans="1:11" x14ac:dyDescent="0.25">
      <c r="A24" t="s">
        <v>55</v>
      </c>
      <c r="B24">
        <f>1.5*B21*B22</f>
        <v>0.3</v>
      </c>
      <c r="G24">
        <v>90</v>
      </c>
      <c r="H24" s="1">
        <f t="shared" si="0"/>
        <v>4352.0539530379674</v>
      </c>
      <c r="I24">
        <f t="shared" si="1"/>
        <v>4.3520539530379674</v>
      </c>
      <c r="J24" s="18">
        <f t="shared" si="2"/>
        <v>1.0006775400942014</v>
      </c>
      <c r="K24" s="18">
        <f t="shared" si="3"/>
        <v>0.10929737548521312</v>
      </c>
    </row>
    <row r="25" spans="1:11" x14ac:dyDescent="0.25">
      <c r="A25" t="s">
        <v>56</v>
      </c>
      <c r="B25">
        <v>10</v>
      </c>
      <c r="G25">
        <v>95</v>
      </c>
      <c r="H25" s="1">
        <f t="shared" si="0"/>
        <v>3752.5160546369971</v>
      </c>
      <c r="I25">
        <f t="shared" si="1"/>
        <v>3.7525160546369971</v>
      </c>
      <c r="J25" s="18">
        <f t="shared" si="2"/>
        <v>0.90043908555385799</v>
      </c>
      <c r="K25" s="18">
        <f t="shared" si="3"/>
        <v>0.10023845454034341</v>
      </c>
    </row>
    <row r="26" spans="1:11" x14ac:dyDescent="0.25">
      <c r="A26" t="s">
        <v>46</v>
      </c>
      <c r="B26">
        <f>B24*B25</f>
        <v>3</v>
      </c>
      <c r="G26">
        <v>100</v>
      </c>
      <c r="H26" s="1">
        <f t="shared" si="0"/>
        <v>3248.4533202316661</v>
      </c>
      <c r="I26">
        <f t="shared" si="1"/>
        <v>3.2484533202316661</v>
      </c>
      <c r="J26" s="18">
        <f t="shared" si="2"/>
        <v>0.80914320318389032</v>
      </c>
      <c r="K26" s="18">
        <f t="shared" si="3"/>
        <v>9.1295882369967662E-2</v>
      </c>
    </row>
    <row r="27" spans="1:11" x14ac:dyDescent="0.25">
      <c r="G27">
        <v>105</v>
      </c>
      <c r="H27" s="1">
        <f t="shared" si="0"/>
        <v>2822.8513012688131</v>
      </c>
      <c r="I27">
        <f t="shared" si="1"/>
        <v>2.822851301268813</v>
      </c>
      <c r="J27" s="18">
        <f t="shared" si="2"/>
        <v>0.72646941583618996</v>
      </c>
      <c r="K27" s="18">
        <f t="shared" si="3"/>
        <v>8.2673787347700367E-2</v>
      </c>
    </row>
    <row r="28" spans="1:11" x14ac:dyDescent="0.25">
      <c r="A28" t="s">
        <v>57</v>
      </c>
      <c r="B28">
        <f>3.3/(2^12)</f>
        <v>8.0566406249999996E-4</v>
      </c>
      <c r="G28">
        <v>110</v>
      </c>
      <c r="H28" s="1">
        <f t="shared" si="0"/>
        <v>2462.0210683801752</v>
      </c>
      <c r="I28">
        <f t="shared" si="1"/>
        <v>2.4620210683801753</v>
      </c>
      <c r="J28" s="18">
        <f t="shared" si="2"/>
        <v>0.65195440459246712</v>
      </c>
      <c r="K28" s="18">
        <f t="shared" si="3"/>
        <v>7.451501124372284E-2</v>
      </c>
    </row>
    <row r="29" spans="1:11" x14ac:dyDescent="0.25">
      <c r="A29" t="s">
        <v>58</v>
      </c>
      <c r="B29">
        <f>B28/B26*B21</f>
        <v>5.3710937499999991E-3</v>
      </c>
      <c r="G29">
        <v>115</v>
      </c>
      <c r="H29" s="1">
        <f t="shared" si="0"/>
        <v>2154.896220150963</v>
      </c>
      <c r="I29">
        <f t="shared" si="1"/>
        <v>2.1548962201509632</v>
      </c>
      <c r="J29" s="18">
        <f t="shared" si="2"/>
        <v>0.58504469291222438</v>
      </c>
      <c r="K29" s="18">
        <f t="shared" si="3"/>
        <v>6.6909711680242734E-2</v>
      </c>
    </row>
    <row r="30" spans="1:11" x14ac:dyDescent="0.25">
      <c r="G30">
        <v>120</v>
      </c>
      <c r="H30" s="1">
        <f t="shared" si="0"/>
        <v>1892.4889652740985</v>
      </c>
      <c r="I30">
        <f t="shared" si="1"/>
        <v>1.8924889652740986</v>
      </c>
      <c r="J30" s="18">
        <f t="shared" si="2"/>
        <v>0.52513932143561037</v>
      </c>
      <c r="K30" s="18">
        <f t="shared" si="3"/>
        <v>5.9905371476614011E-2</v>
      </c>
    </row>
    <row r="31" spans="1:11" x14ac:dyDescent="0.25">
      <c r="G31">
        <v>125</v>
      </c>
      <c r="H31" s="1">
        <f t="shared" si="0"/>
        <v>1667.4670548512261</v>
      </c>
      <c r="I31">
        <f t="shared" si="1"/>
        <v>1.667467054851226</v>
      </c>
      <c r="J31" s="18">
        <f t="shared" si="2"/>
        <v>0.47162261141513984</v>
      </c>
      <c r="K31" s="18">
        <f t="shared" si="3"/>
        <v>5.3516710020470537E-2</v>
      </c>
    </row>
    <row r="32" spans="1:11" x14ac:dyDescent="0.25">
      <c r="G32">
        <v>130</v>
      </c>
      <c r="H32" s="1">
        <f t="shared" si="0"/>
        <v>1473.8230325214975</v>
      </c>
      <c r="I32">
        <f t="shared" si="1"/>
        <v>1.4738230325214974</v>
      </c>
      <c r="J32" s="18">
        <f t="shared" si="2"/>
        <v>0.42388800956189304</v>
      </c>
      <c r="K32" s="18">
        <f t="shared" si="3"/>
        <v>4.7734601853246794E-2</v>
      </c>
    </row>
    <row r="34" spans="10:11" x14ac:dyDescent="0.25">
      <c r="J34" t="s">
        <v>59</v>
      </c>
      <c r="K34" s="18">
        <f>MIN(K3:K32)</f>
        <v>2.23438106592182E-2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C07E-DD8A-4A57-9D3A-1D9832BE168C}">
  <dimension ref="A11:I816"/>
  <sheetViews>
    <sheetView tabSelected="1" topLeftCell="A10" zoomScale="175" zoomScaleNormal="175" workbookViewId="0">
      <selection activeCell="B14" sqref="B14"/>
    </sheetView>
  </sheetViews>
  <sheetFormatPr defaultRowHeight="15" x14ac:dyDescent="0.25"/>
  <cols>
    <col min="1" max="1" width="14" customWidth="1"/>
  </cols>
  <sheetData>
    <row r="11" spans="1:9" x14ac:dyDescent="0.25">
      <c r="E11" t="s">
        <v>50</v>
      </c>
      <c r="F11" t="s">
        <v>83</v>
      </c>
      <c r="H11" t="s">
        <v>84</v>
      </c>
    </row>
    <row r="12" spans="1:9" x14ac:dyDescent="0.25">
      <c r="A12" t="s">
        <v>50</v>
      </c>
      <c r="B12">
        <v>20</v>
      </c>
      <c r="E12">
        <v>-20</v>
      </c>
      <c r="F12">
        <f>-(E12*$B$16*$B$13-3.3/2)</f>
        <v>2.65</v>
      </c>
      <c r="H12">
        <v>0</v>
      </c>
      <c r="I12">
        <f>-(H12*$B$16*$B$13-3.3/2)</f>
        <v>1.65</v>
      </c>
    </row>
    <row r="13" spans="1:9" x14ac:dyDescent="0.25">
      <c r="A13" t="s">
        <v>44</v>
      </c>
      <c r="B13">
        <v>0.01</v>
      </c>
      <c r="E13">
        <v>-19.95</v>
      </c>
      <c r="F13">
        <f t="shared" ref="F13:F76" si="0">-(E13*$B$16*$B$13-3.3/2)</f>
        <v>2.6475</v>
      </c>
      <c r="H13">
        <v>0.01</v>
      </c>
      <c r="I13">
        <f t="shared" ref="I13" si="1">-(H13*$B$16*$B$13-3.3/2)</f>
        <v>1.6495</v>
      </c>
    </row>
    <row r="14" spans="1:9" x14ac:dyDescent="0.25">
      <c r="A14" t="s">
        <v>51</v>
      </c>
      <c r="B14">
        <f>B12^2*B13</f>
        <v>4</v>
      </c>
      <c r="E14">
        <v>-19.899999999999999</v>
      </c>
      <c r="F14">
        <f t="shared" si="0"/>
        <v>2.645</v>
      </c>
    </row>
    <row r="15" spans="1:9" x14ac:dyDescent="0.25">
      <c r="A15" t="s">
        <v>55</v>
      </c>
      <c r="B15" s="31">
        <f>1.5*B12*B13</f>
        <v>0.3</v>
      </c>
      <c r="E15">
        <v>-19.850000000000001</v>
      </c>
      <c r="F15">
        <f t="shared" si="0"/>
        <v>2.6425000000000001</v>
      </c>
    </row>
    <row r="16" spans="1:9" x14ac:dyDescent="0.25">
      <c r="A16" t="s">
        <v>56</v>
      </c>
      <c r="B16">
        <v>5</v>
      </c>
      <c r="E16">
        <v>-19.8</v>
      </c>
      <c r="F16">
        <f t="shared" si="0"/>
        <v>2.6399999999999997</v>
      </c>
    </row>
    <row r="17" spans="1:6" x14ac:dyDescent="0.25">
      <c r="A17" t="s">
        <v>46</v>
      </c>
      <c r="B17">
        <f>B15*B16</f>
        <v>1.5</v>
      </c>
      <c r="E17">
        <v>-19.75</v>
      </c>
      <c r="F17">
        <f t="shared" si="0"/>
        <v>2.6375000000000002</v>
      </c>
    </row>
    <row r="18" spans="1:6" x14ac:dyDescent="0.25">
      <c r="E18">
        <v>-19.7</v>
      </c>
      <c r="F18">
        <f t="shared" si="0"/>
        <v>2.6349999999999998</v>
      </c>
    </row>
    <row r="19" spans="1:6" x14ac:dyDescent="0.25">
      <c r="A19" t="s">
        <v>57</v>
      </c>
      <c r="B19">
        <f>3.3/(2^12)</f>
        <v>8.0566406249999996E-4</v>
      </c>
      <c r="E19">
        <v>-19.649999999999999</v>
      </c>
      <c r="F19">
        <f t="shared" si="0"/>
        <v>2.6324999999999998</v>
      </c>
    </row>
    <row r="20" spans="1:6" x14ac:dyDescent="0.25">
      <c r="A20" t="s">
        <v>58</v>
      </c>
      <c r="B20">
        <f>B19/B17*B12</f>
        <v>1.0742187499999998E-2</v>
      </c>
      <c r="E20">
        <v>-19.600000000000001</v>
      </c>
      <c r="F20">
        <f t="shared" si="0"/>
        <v>2.63</v>
      </c>
    </row>
    <row r="21" spans="1:6" x14ac:dyDescent="0.25">
      <c r="E21">
        <v>-19.55</v>
      </c>
      <c r="F21">
        <f t="shared" si="0"/>
        <v>2.6274999999999999</v>
      </c>
    </row>
    <row r="22" spans="1:6" x14ac:dyDescent="0.25">
      <c r="A22" t="s">
        <v>86</v>
      </c>
      <c r="B22">
        <v>0.1</v>
      </c>
      <c r="E22">
        <v>-19.5</v>
      </c>
      <c r="F22">
        <f t="shared" si="0"/>
        <v>2.625</v>
      </c>
    </row>
    <row r="23" spans="1:6" x14ac:dyDescent="0.25">
      <c r="A23" t="s">
        <v>85</v>
      </c>
      <c r="B23">
        <v>1E-3</v>
      </c>
      <c r="E23">
        <v>-19.45</v>
      </c>
      <c r="F23">
        <f t="shared" si="0"/>
        <v>2.6225000000000001</v>
      </c>
    </row>
    <row r="24" spans="1:6" x14ac:dyDescent="0.25">
      <c r="A24" t="s">
        <v>87</v>
      </c>
      <c r="B24">
        <f>B23/(B13*B22)</f>
        <v>1</v>
      </c>
      <c r="E24">
        <v>-19.399999999999999</v>
      </c>
      <c r="F24">
        <f t="shared" si="0"/>
        <v>2.62</v>
      </c>
    </row>
    <row r="25" spans="1:6" x14ac:dyDescent="0.25">
      <c r="E25">
        <v>-19.350000000000001</v>
      </c>
      <c r="F25">
        <f t="shared" si="0"/>
        <v>2.6174999999999997</v>
      </c>
    </row>
    <row r="26" spans="1:6" x14ac:dyDescent="0.25">
      <c r="E26">
        <v>-19.3</v>
      </c>
      <c r="F26">
        <f t="shared" si="0"/>
        <v>2.6149999999999998</v>
      </c>
    </row>
    <row r="27" spans="1:6" x14ac:dyDescent="0.25">
      <c r="E27">
        <v>-19.25</v>
      </c>
      <c r="F27">
        <f t="shared" si="0"/>
        <v>2.6124999999999998</v>
      </c>
    </row>
    <row r="28" spans="1:6" x14ac:dyDescent="0.25">
      <c r="E28">
        <v>-19.2</v>
      </c>
      <c r="F28">
        <f t="shared" si="0"/>
        <v>2.61</v>
      </c>
    </row>
    <row r="29" spans="1:6" x14ac:dyDescent="0.25">
      <c r="E29">
        <v>-19.149999999999999</v>
      </c>
      <c r="F29">
        <f t="shared" si="0"/>
        <v>2.6074999999999999</v>
      </c>
    </row>
    <row r="30" spans="1:6" x14ac:dyDescent="0.25">
      <c r="E30">
        <v>-19.100000000000001</v>
      </c>
      <c r="F30">
        <f t="shared" si="0"/>
        <v>2.605</v>
      </c>
    </row>
    <row r="31" spans="1:6" x14ac:dyDescent="0.25">
      <c r="E31">
        <v>-19.05</v>
      </c>
      <c r="F31">
        <f t="shared" si="0"/>
        <v>2.6025</v>
      </c>
    </row>
    <row r="32" spans="1:6" x14ac:dyDescent="0.25">
      <c r="E32">
        <v>-19</v>
      </c>
      <c r="F32">
        <f t="shared" si="0"/>
        <v>2.6</v>
      </c>
    </row>
    <row r="33" spans="5:6" x14ac:dyDescent="0.25">
      <c r="E33">
        <v>-18.95</v>
      </c>
      <c r="F33">
        <f t="shared" si="0"/>
        <v>2.5975000000000001</v>
      </c>
    </row>
    <row r="34" spans="5:6" x14ac:dyDescent="0.25">
      <c r="E34">
        <v>-18.899999999999999</v>
      </c>
      <c r="F34">
        <f t="shared" si="0"/>
        <v>2.5949999999999998</v>
      </c>
    </row>
    <row r="35" spans="5:6" x14ac:dyDescent="0.25">
      <c r="E35">
        <v>-18.850000000000001</v>
      </c>
      <c r="F35">
        <f t="shared" si="0"/>
        <v>2.5924999999999998</v>
      </c>
    </row>
    <row r="36" spans="5:6" x14ac:dyDescent="0.25">
      <c r="E36">
        <v>-18.8</v>
      </c>
      <c r="F36">
        <f t="shared" si="0"/>
        <v>2.59</v>
      </c>
    </row>
    <row r="37" spans="5:6" x14ac:dyDescent="0.25">
      <c r="E37">
        <v>-18.75</v>
      </c>
      <c r="F37">
        <f t="shared" si="0"/>
        <v>2.5874999999999999</v>
      </c>
    </row>
    <row r="38" spans="5:6" x14ac:dyDescent="0.25">
      <c r="E38">
        <v>-18.7</v>
      </c>
      <c r="F38">
        <f t="shared" si="0"/>
        <v>2.585</v>
      </c>
    </row>
    <row r="39" spans="5:6" x14ac:dyDescent="0.25">
      <c r="E39">
        <v>-18.649999999999999</v>
      </c>
      <c r="F39">
        <f t="shared" si="0"/>
        <v>2.5825</v>
      </c>
    </row>
    <row r="40" spans="5:6" x14ac:dyDescent="0.25">
      <c r="E40">
        <v>-18.600000000000001</v>
      </c>
      <c r="F40">
        <f t="shared" si="0"/>
        <v>2.58</v>
      </c>
    </row>
    <row r="41" spans="5:6" x14ac:dyDescent="0.25">
      <c r="E41">
        <v>-18.55</v>
      </c>
      <c r="F41">
        <f t="shared" si="0"/>
        <v>2.5774999999999997</v>
      </c>
    </row>
    <row r="42" spans="5:6" x14ac:dyDescent="0.25">
      <c r="E42">
        <v>-18.5</v>
      </c>
      <c r="F42">
        <f t="shared" si="0"/>
        <v>2.5750000000000002</v>
      </c>
    </row>
    <row r="43" spans="5:6" x14ac:dyDescent="0.25">
      <c r="E43">
        <v>-18.45</v>
      </c>
      <c r="F43">
        <f t="shared" si="0"/>
        <v>2.5724999999999998</v>
      </c>
    </row>
    <row r="44" spans="5:6" x14ac:dyDescent="0.25">
      <c r="E44">
        <v>-18.399999999999999</v>
      </c>
      <c r="F44">
        <f t="shared" si="0"/>
        <v>2.57</v>
      </c>
    </row>
    <row r="45" spans="5:6" x14ac:dyDescent="0.25">
      <c r="E45">
        <v>-18.350000000000001</v>
      </c>
      <c r="F45">
        <f t="shared" si="0"/>
        <v>2.5674999999999999</v>
      </c>
    </row>
    <row r="46" spans="5:6" x14ac:dyDescent="0.25">
      <c r="E46">
        <v>-18.3</v>
      </c>
      <c r="F46">
        <f t="shared" si="0"/>
        <v>2.5649999999999999</v>
      </c>
    </row>
    <row r="47" spans="5:6" x14ac:dyDescent="0.25">
      <c r="E47">
        <v>-18.25</v>
      </c>
      <c r="F47">
        <f t="shared" si="0"/>
        <v>2.5625</v>
      </c>
    </row>
    <row r="48" spans="5:6" x14ac:dyDescent="0.25">
      <c r="E48">
        <v>-18.2</v>
      </c>
      <c r="F48">
        <f t="shared" si="0"/>
        <v>2.56</v>
      </c>
    </row>
    <row r="49" spans="5:6" x14ac:dyDescent="0.25">
      <c r="E49">
        <v>-18.149999999999999</v>
      </c>
      <c r="F49">
        <f t="shared" si="0"/>
        <v>2.5575000000000001</v>
      </c>
    </row>
    <row r="50" spans="5:6" x14ac:dyDescent="0.25">
      <c r="E50">
        <v>-18.100000000000001</v>
      </c>
      <c r="F50">
        <f t="shared" si="0"/>
        <v>2.5549999999999997</v>
      </c>
    </row>
    <row r="51" spans="5:6" x14ac:dyDescent="0.25">
      <c r="E51">
        <v>-18.05</v>
      </c>
      <c r="F51">
        <f t="shared" si="0"/>
        <v>2.5524999999999998</v>
      </c>
    </row>
    <row r="52" spans="5:6" x14ac:dyDescent="0.25">
      <c r="E52">
        <v>-18</v>
      </c>
      <c r="F52">
        <f t="shared" si="0"/>
        <v>2.5499999999999998</v>
      </c>
    </row>
    <row r="53" spans="5:6" x14ac:dyDescent="0.25">
      <c r="E53">
        <v>-17.95</v>
      </c>
      <c r="F53">
        <f t="shared" si="0"/>
        <v>2.5474999999999999</v>
      </c>
    </row>
    <row r="54" spans="5:6" x14ac:dyDescent="0.25">
      <c r="E54">
        <v>-17.899999999999999</v>
      </c>
      <c r="F54">
        <f t="shared" si="0"/>
        <v>2.5449999999999999</v>
      </c>
    </row>
    <row r="55" spans="5:6" x14ac:dyDescent="0.25">
      <c r="E55">
        <v>-17.850000000000001</v>
      </c>
      <c r="F55">
        <f t="shared" si="0"/>
        <v>2.5425</v>
      </c>
    </row>
    <row r="56" spans="5:6" x14ac:dyDescent="0.25">
      <c r="E56">
        <v>-17.8</v>
      </c>
      <c r="F56">
        <f t="shared" si="0"/>
        <v>2.54</v>
      </c>
    </row>
    <row r="57" spans="5:6" x14ac:dyDescent="0.25">
      <c r="E57">
        <v>-17.75</v>
      </c>
      <c r="F57">
        <f t="shared" si="0"/>
        <v>2.5375000000000001</v>
      </c>
    </row>
    <row r="58" spans="5:6" x14ac:dyDescent="0.25">
      <c r="E58">
        <v>-17.7</v>
      </c>
      <c r="F58">
        <f t="shared" si="0"/>
        <v>2.5350000000000001</v>
      </c>
    </row>
    <row r="59" spans="5:6" x14ac:dyDescent="0.25">
      <c r="E59">
        <v>-17.649999999999999</v>
      </c>
      <c r="F59">
        <f t="shared" si="0"/>
        <v>2.5324999999999998</v>
      </c>
    </row>
    <row r="60" spans="5:6" x14ac:dyDescent="0.25">
      <c r="E60">
        <v>-17.600000000000001</v>
      </c>
      <c r="F60">
        <f t="shared" si="0"/>
        <v>2.5299999999999998</v>
      </c>
    </row>
    <row r="61" spans="5:6" x14ac:dyDescent="0.25">
      <c r="E61">
        <v>-17.55</v>
      </c>
      <c r="F61">
        <f t="shared" si="0"/>
        <v>2.5274999999999999</v>
      </c>
    </row>
    <row r="62" spans="5:6" x14ac:dyDescent="0.25">
      <c r="E62">
        <v>-17.5</v>
      </c>
      <c r="F62">
        <f t="shared" si="0"/>
        <v>2.5249999999999999</v>
      </c>
    </row>
    <row r="63" spans="5:6" x14ac:dyDescent="0.25">
      <c r="E63">
        <v>-17.45</v>
      </c>
      <c r="F63">
        <f t="shared" si="0"/>
        <v>2.5225</v>
      </c>
    </row>
    <row r="64" spans="5:6" x14ac:dyDescent="0.25">
      <c r="E64">
        <v>-17.399999999999999</v>
      </c>
      <c r="F64">
        <f t="shared" si="0"/>
        <v>2.52</v>
      </c>
    </row>
    <row r="65" spans="5:6" x14ac:dyDescent="0.25">
      <c r="E65">
        <v>-17.350000000000001</v>
      </c>
      <c r="F65">
        <f t="shared" si="0"/>
        <v>2.5175000000000001</v>
      </c>
    </row>
    <row r="66" spans="5:6" x14ac:dyDescent="0.25">
      <c r="E66">
        <v>-17.3</v>
      </c>
      <c r="F66">
        <f t="shared" si="0"/>
        <v>2.5149999999999997</v>
      </c>
    </row>
    <row r="67" spans="5:6" x14ac:dyDescent="0.25">
      <c r="E67">
        <v>-17.25</v>
      </c>
      <c r="F67">
        <f t="shared" si="0"/>
        <v>2.5125000000000002</v>
      </c>
    </row>
    <row r="68" spans="5:6" x14ac:dyDescent="0.25">
      <c r="E68">
        <v>-17.2</v>
      </c>
      <c r="F68">
        <f t="shared" si="0"/>
        <v>2.5099999999999998</v>
      </c>
    </row>
    <row r="69" spans="5:6" x14ac:dyDescent="0.25">
      <c r="E69">
        <v>-17.149999999999999</v>
      </c>
      <c r="F69">
        <f t="shared" si="0"/>
        <v>2.5074999999999998</v>
      </c>
    </row>
    <row r="70" spans="5:6" x14ac:dyDescent="0.25">
      <c r="E70">
        <v>-17.100000000000001</v>
      </c>
      <c r="F70">
        <f t="shared" si="0"/>
        <v>2.5049999999999999</v>
      </c>
    </row>
    <row r="71" spans="5:6" x14ac:dyDescent="0.25">
      <c r="E71">
        <v>-17.05</v>
      </c>
      <c r="F71">
        <f t="shared" si="0"/>
        <v>2.5024999999999999</v>
      </c>
    </row>
    <row r="72" spans="5:6" x14ac:dyDescent="0.25">
      <c r="E72">
        <v>-17</v>
      </c>
      <c r="F72">
        <f t="shared" si="0"/>
        <v>2.5</v>
      </c>
    </row>
    <row r="73" spans="5:6" x14ac:dyDescent="0.25">
      <c r="E73">
        <v>-16.95</v>
      </c>
      <c r="F73">
        <f t="shared" si="0"/>
        <v>2.4975000000000001</v>
      </c>
    </row>
    <row r="74" spans="5:6" x14ac:dyDescent="0.25">
      <c r="E74">
        <v>-16.899999999999999</v>
      </c>
      <c r="F74">
        <f t="shared" si="0"/>
        <v>2.4950000000000001</v>
      </c>
    </row>
    <row r="75" spans="5:6" x14ac:dyDescent="0.25">
      <c r="E75">
        <v>-16.850000000000001</v>
      </c>
      <c r="F75">
        <f t="shared" si="0"/>
        <v>2.4924999999999997</v>
      </c>
    </row>
    <row r="76" spans="5:6" x14ac:dyDescent="0.25">
      <c r="E76">
        <v>-16.8</v>
      </c>
      <c r="F76">
        <f t="shared" si="0"/>
        <v>2.4899999999999998</v>
      </c>
    </row>
    <row r="77" spans="5:6" x14ac:dyDescent="0.25">
      <c r="E77">
        <v>-16.75</v>
      </c>
      <c r="F77">
        <f t="shared" ref="F77:F140" si="2">-(E77*$B$16*$B$13-3.3/2)</f>
        <v>2.4874999999999998</v>
      </c>
    </row>
    <row r="78" spans="5:6" x14ac:dyDescent="0.25">
      <c r="E78">
        <v>-16.6999999999999</v>
      </c>
      <c r="F78">
        <f t="shared" si="2"/>
        <v>2.484999999999995</v>
      </c>
    </row>
    <row r="79" spans="5:6" x14ac:dyDescent="0.25">
      <c r="E79">
        <v>-16.649999999999899</v>
      </c>
      <c r="F79">
        <f t="shared" si="2"/>
        <v>2.4824999999999946</v>
      </c>
    </row>
    <row r="80" spans="5:6" x14ac:dyDescent="0.25">
      <c r="E80">
        <v>-16.600000000000001</v>
      </c>
      <c r="F80">
        <f t="shared" si="2"/>
        <v>2.48</v>
      </c>
    </row>
    <row r="81" spans="5:6" x14ac:dyDescent="0.25">
      <c r="E81">
        <v>-16.55</v>
      </c>
      <c r="F81">
        <f t="shared" si="2"/>
        <v>2.4775</v>
      </c>
    </row>
    <row r="82" spans="5:6" x14ac:dyDescent="0.25">
      <c r="E82">
        <v>-16.5</v>
      </c>
      <c r="F82">
        <f t="shared" si="2"/>
        <v>2.4750000000000001</v>
      </c>
    </row>
    <row r="83" spans="5:6" x14ac:dyDescent="0.25">
      <c r="E83">
        <v>-16.4499999999999</v>
      </c>
      <c r="F83">
        <f t="shared" si="2"/>
        <v>2.4724999999999948</v>
      </c>
    </row>
    <row r="84" spans="5:6" x14ac:dyDescent="0.25">
      <c r="E84">
        <v>-16.399999999999899</v>
      </c>
      <c r="F84">
        <f t="shared" si="2"/>
        <v>2.4699999999999949</v>
      </c>
    </row>
    <row r="85" spans="5:6" x14ac:dyDescent="0.25">
      <c r="E85">
        <v>-16.350000000000001</v>
      </c>
      <c r="F85">
        <f t="shared" si="2"/>
        <v>2.4674999999999998</v>
      </c>
    </row>
    <row r="86" spans="5:6" x14ac:dyDescent="0.25">
      <c r="E86">
        <v>-16.3</v>
      </c>
      <c r="F86">
        <f t="shared" si="2"/>
        <v>2.4649999999999999</v>
      </c>
    </row>
    <row r="87" spans="5:6" x14ac:dyDescent="0.25">
      <c r="E87">
        <v>-16.25</v>
      </c>
      <c r="F87">
        <f t="shared" si="2"/>
        <v>2.4624999999999999</v>
      </c>
    </row>
    <row r="88" spans="5:6" x14ac:dyDescent="0.25">
      <c r="E88">
        <v>-16.1999999999999</v>
      </c>
      <c r="F88">
        <f t="shared" si="2"/>
        <v>2.4599999999999951</v>
      </c>
    </row>
    <row r="89" spans="5:6" x14ac:dyDescent="0.25">
      <c r="E89">
        <v>-16.149999999999899</v>
      </c>
      <c r="F89">
        <f t="shared" si="2"/>
        <v>2.4574999999999947</v>
      </c>
    </row>
    <row r="90" spans="5:6" x14ac:dyDescent="0.25">
      <c r="E90">
        <v>-16.099999999999898</v>
      </c>
      <c r="F90">
        <f t="shared" si="2"/>
        <v>2.4549999999999947</v>
      </c>
    </row>
    <row r="91" spans="5:6" x14ac:dyDescent="0.25">
      <c r="E91">
        <v>-16.049999999999901</v>
      </c>
      <c r="F91">
        <f t="shared" si="2"/>
        <v>2.4524999999999948</v>
      </c>
    </row>
    <row r="92" spans="5:6" x14ac:dyDescent="0.25">
      <c r="E92">
        <v>-15.999999999999901</v>
      </c>
      <c r="F92">
        <f t="shared" si="2"/>
        <v>2.4499999999999948</v>
      </c>
    </row>
    <row r="93" spans="5:6" x14ac:dyDescent="0.25">
      <c r="E93">
        <v>-15.9499999999999</v>
      </c>
      <c r="F93">
        <f t="shared" si="2"/>
        <v>2.4474999999999949</v>
      </c>
    </row>
    <row r="94" spans="5:6" x14ac:dyDescent="0.25">
      <c r="E94">
        <v>-15.899999999999901</v>
      </c>
      <c r="F94">
        <f t="shared" si="2"/>
        <v>2.444999999999995</v>
      </c>
    </row>
    <row r="95" spans="5:6" x14ac:dyDescent="0.25">
      <c r="E95">
        <v>-15.8499999999999</v>
      </c>
      <c r="F95">
        <f t="shared" si="2"/>
        <v>2.442499999999995</v>
      </c>
    </row>
    <row r="96" spans="5:6" x14ac:dyDescent="0.25">
      <c r="E96">
        <v>-15.799999999999899</v>
      </c>
      <c r="F96">
        <f t="shared" si="2"/>
        <v>2.4399999999999951</v>
      </c>
    </row>
    <row r="97" spans="5:6" x14ac:dyDescent="0.25">
      <c r="E97">
        <v>-15.749999999999901</v>
      </c>
      <c r="F97">
        <f t="shared" si="2"/>
        <v>2.4374999999999951</v>
      </c>
    </row>
    <row r="98" spans="5:6" x14ac:dyDescent="0.25">
      <c r="E98">
        <v>-15.6999999999999</v>
      </c>
      <c r="F98">
        <f t="shared" si="2"/>
        <v>2.4349999999999952</v>
      </c>
    </row>
    <row r="99" spans="5:6" x14ac:dyDescent="0.25">
      <c r="E99">
        <v>-15.649999999999901</v>
      </c>
      <c r="F99">
        <f t="shared" si="2"/>
        <v>2.4324999999999948</v>
      </c>
    </row>
    <row r="100" spans="5:6" x14ac:dyDescent="0.25">
      <c r="E100">
        <v>-15.5999999999999</v>
      </c>
      <c r="F100">
        <f t="shared" si="2"/>
        <v>2.4299999999999948</v>
      </c>
    </row>
    <row r="101" spans="5:6" x14ac:dyDescent="0.25">
      <c r="E101">
        <v>-15.549999999999899</v>
      </c>
      <c r="F101">
        <f t="shared" si="2"/>
        <v>2.4274999999999949</v>
      </c>
    </row>
    <row r="102" spans="5:6" x14ac:dyDescent="0.25">
      <c r="E102">
        <v>-15.499999999999901</v>
      </c>
      <c r="F102">
        <f t="shared" si="2"/>
        <v>2.4249999999999949</v>
      </c>
    </row>
    <row r="103" spans="5:6" x14ac:dyDescent="0.25">
      <c r="E103">
        <v>-15.4499999999999</v>
      </c>
      <c r="F103">
        <f t="shared" si="2"/>
        <v>2.422499999999995</v>
      </c>
    </row>
    <row r="104" spans="5:6" x14ac:dyDescent="0.25">
      <c r="E104">
        <v>-15.399999999999901</v>
      </c>
      <c r="F104">
        <f t="shared" si="2"/>
        <v>2.419999999999995</v>
      </c>
    </row>
    <row r="105" spans="5:6" x14ac:dyDescent="0.25">
      <c r="E105">
        <v>-15.3499999999999</v>
      </c>
      <c r="F105">
        <f t="shared" si="2"/>
        <v>2.4174999999999951</v>
      </c>
    </row>
    <row r="106" spans="5:6" x14ac:dyDescent="0.25">
      <c r="E106">
        <v>-15.299999999999899</v>
      </c>
      <c r="F106">
        <f t="shared" si="2"/>
        <v>2.4149999999999947</v>
      </c>
    </row>
    <row r="107" spans="5:6" x14ac:dyDescent="0.25">
      <c r="E107">
        <v>-15.249999999999901</v>
      </c>
      <c r="F107">
        <f t="shared" si="2"/>
        <v>2.4124999999999952</v>
      </c>
    </row>
    <row r="108" spans="5:6" x14ac:dyDescent="0.25">
      <c r="E108">
        <v>-15.1999999999999</v>
      </c>
      <c r="F108">
        <f t="shared" si="2"/>
        <v>2.4099999999999948</v>
      </c>
    </row>
    <row r="109" spans="5:6" x14ac:dyDescent="0.25">
      <c r="E109">
        <v>-15.149999999999901</v>
      </c>
      <c r="F109">
        <f t="shared" si="2"/>
        <v>2.4074999999999949</v>
      </c>
    </row>
    <row r="110" spans="5:6" x14ac:dyDescent="0.25">
      <c r="E110">
        <v>-15.0999999999999</v>
      </c>
      <c r="F110">
        <f t="shared" si="2"/>
        <v>2.4049999999999949</v>
      </c>
    </row>
    <row r="111" spans="5:6" x14ac:dyDescent="0.25">
      <c r="E111">
        <v>-15.049999999999899</v>
      </c>
      <c r="F111">
        <f t="shared" si="2"/>
        <v>2.402499999999995</v>
      </c>
    </row>
    <row r="112" spans="5:6" x14ac:dyDescent="0.25">
      <c r="E112">
        <v>-14.999999999999901</v>
      </c>
      <c r="F112">
        <f t="shared" si="2"/>
        <v>2.399999999999995</v>
      </c>
    </row>
    <row r="113" spans="5:6" x14ac:dyDescent="0.25">
      <c r="E113">
        <v>-14.9499999999999</v>
      </c>
      <c r="F113">
        <f t="shared" si="2"/>
        <v>2.3974999999999951</v>
      </c>
    </row>
    <row r="114" spans="5:6" x14ac:dyDescent="0.25">
      <c r="E114">
        <v>-14.899999999999901</v>
      </c>
      <c r="F114">
        <f t="shared" si="2"/>
        <v>2.3949999999999951</v>
      </c>
    </row>
    <row r="115" spans="5:6" x14ac:dyDescent="0.25">
      <c r="E115">
        <v>-14.8499999999999</v>
      </c>
      <c r="F115">
        <f t="shared" si="2"/>
        <v>2.3924999999999947</v>
      </c>
    </row>
    <row r="116" spans="5:6" x14ac:dyDescent="0.25">
      <c r="E116">
        <v>-14.799999999999899</v>
      </c>
      <c r="F116">
        <f t="shared" si="2"/>
        <v>2.3899999999999948</v>
      </c>
    </row>
    <row r="117" spans="5:6" x14ac:dyDescent="0.25">
      <c r="E117">
        <v>-14.749999999999901</v>
      </c>
      <c r="F117">
        <f t="shared" si="2"/>
        <v>2.3874999999999948</v>
      </c>
    </row>
    <row r="118" spans="5:6" x14ac:dyDescent="0.25">
      <c r="E118">
        <v>-14.6999999999999</v>
      </c>
      <c r="F118">
        <f t="shared" si="2"/>
        <v>2.3849999999999949</v>
      </c>
    </row>
    <row r="119" spans="5:6" x14ac:dyDescent="0.25">
      <c r="E119">
        <v>-14.649999999999901</v>
      </c>
      <c r="F119">
        <f t="shared" si="2"/>
        <v>2.382499999999995</v>
      </c>
    </row>
    <row r="120" spans="5:6" x14ac:dyDescent="0.25">
      <c r="E120">
        <v>-14.5999999999999</v>
      </c>
      <c r="F120">
        <f t="shared" si="2"/>
        <v>2.379999999999995</v>
      </c>
    </row>
    <row r="121" spans="5:6" x14ac:dyDescent="0.25">
      <c r="E121">
        <v>-14.549999999999899</v>
      </c>
      <c r="F121">
        <f t="shared" si="2"/>
        <v>2.3774999999999951</v>
      </c>
    </row>
    <row r="122" spans="5:6" x14ac:dyDescent="0.25">
      <c r="E122">
        <v>-14.499999999999901</v>
      </c>
      <c r="F122">
        <f t="shared" si="2"/>
        <v>2.3749999999999951</v>
      </c>
    </row>
    <row r="123" spans="5:6" x14ac:dyDescent="0.25">
      <c r="E123">
        <v>-14.4499999999999</v>
      </c>
      <c r="F123">
        <f t="shared" si="2"/>
        <v>2.3724999999999952</v>
      </c>
    </row>
    <row r="124" spans="5:6" x14ac:dyDescent="0.25">
      <c r="E124">
        <v>-14.399999999999901</v>
      </c>
      <c r="F124">
        <f t="shared" si="2"/>
        <v>2.3699999999999948</v>
      </c>
    </row>
    <row r="125" spans="5:6" x14ac:dyDescent="0.25">
      <c r="E125">
        <v>-14.3499999999999</v>
      </c>
      <c r="F125">
        <f t="shared" si="2"/>
        <v>2.3674999999999948</v>
      </c>
    </row>
    <row r="126" spans="5:6" x14ac:dyDescent="0.25">
      <c r="E126">
        <v>-14.299999999999899</v>
      </c>
      <c r="F126">
        <f t="shared" si="2"/>
        <v>2.3649999999999949</v>
      </c>
    </row>
    <row r="127" spans="5:6" x14ac:dyDescent="0.25">
      <c r="E127">
        <v>-14.249999999999901</v>
      </c>
      <c r="F127">
        <f t="shared" si="2"/>
        <v>2.3624999999999949</v>
      </c>
    </row>
    <row r="128" spans="5:6" x14ac:dyDescent="0.25">
      <c r="E128">
        <v>-14.1999999999999</v>
      </c>
      <c r="F128">
        <f t="shared" si="2"/>
        <v>2.359999999999995</v>
      </c>
    </row>
    <row r="129" spans="5:6" x14ac:dyDescent="0.25">
      <c r="E129">
        <v>-14.149999999999901</v>
      </c>
      <c r="F129">
        <f t="shared" si="2"/>
        <v>2.357499999999995</v>
      </c>
    </row>
    <row r="130" spans="5:6" x14ac:dyDescent="0.25">
      <c r="E130">
        <v>-14.0999999999999</v>
      </c>
      <c r="F130">
        <f t="shared" si="2"/>
        <v>2.3549999999999951</v>
      </c>
    </row>
    <row r="131" spans="5:6" x14ac:dyDescent="0.25">
      <c r="E131">
        <v>-14.049999999999899</v>
      </c>
      <c r="F131">
        <f t="shared" si="2"/>
        <v>2.3524999999999947</v>
      </c>
    </row>
    <row r="132" spans="5:6" x14ac:dyDescent="0.25">
      <c r="E132">
        <v>-13.999999999999901</v>
      </c>
      <c r="F132">
        <f t="shared" si="2"/>
        <v>2.3499999999999952</v>
      </c>
    </row>
    <row r="133" spans="5:6" x14ac:dyDescent="0.25">
      <c r="E133">
        <v>-13.9499999999999</v>
      </c>
      <c r="F133">
        <f t="shared" si="2"/>
        <v>2.3474999999999948</v>
      </c>
    </row>
    <row r="134" spans="5:6" x14ac:dyDescent="0.25">
      <c r="E134">
        <v>-13.899999999999901</v>
      </c>
      <c r="F134">
        <f t="shared" si="2"/>
        <v>2.3449999999999949</v>
      </c>
    </row>
    <row r="135" spans="5:6" x14ac:dyDescent="0.25">
      <c r="E135">
        <v>-13.8499999999999</v>
      </c>
      <c r="F135">
        <f t="shared" si="2"/>
        <v>2.3424999999999949</v>
      </c>
    </row>
    <row r="136" spans="5:6" x14ac:dyDescent="0.25">
      <c r="E136">
        <v>-13.799999999999899</v>
      </c>
      <c r="F136">
        <f t="shared" si="2"/>
        <v>2.339999999999995</v>
      </c>
    </row>
    <row r="137" spans="5:6" x14ac:dyDescent="0.25">
      <c r="E137">
        <v>-13.749999999999901</v>
      </c>
      <c r="F137">
        <f t="shared" si="2"/>
        <v>2.337499999999995</v>
      </c>
    </row>
    <row r="138" spans="5:6" x14ac:dyDescent="0.25">
      <c r="E138">
        <v>-13.6999999999999</v>
      </c>
      <c r="F138">
        <f t="shared" si="2"/>
        <v>2.3349999999999951</v>
      </c>
    </row>
    <row r="139" spans="5:6" x14ac:dyDescent="0.25">
      <c r="E139">
        <v>-13.649999999999901</v>
      </c>
      <c r="F139">
        <f t="shared" si="2"/>
        <v>2.3324999999999951</v>
      </c>
    </row>
    <row r="140" spans="5:6" x14ac:dyDescent="0.25">
      <c r="E140">
        <v>-13.5999999999999</v>
      </c>
      <c r="F140">
        <f t="shared" si="2"/>
        <v>2.3299999999999947</v>
      </c>
    </row>
    <row r="141" spans="5:6" x14ac:dyDescent="0.25">
      <c r="E141">
        <v>-13.549999999999899</v>
      </c>
      <c r="F141">
        <f t="shared" ref="F141:F204" si="3">-(E141*$B$16*$B$13-3.3/2)</f>
        <v>2.3274999999999948</v>
      </c>
    </row>
    <row r="142" spans="5:6" x14ac:dyDescent="0.25">
      <c r="E142">
        <v>-13.499999999999901</v>
      </c>
      <c r="F142">
        <f t="shared" si="3"/>
        <v>2.3249999999999948</v>
      </c>
    </row>
    <row r="143" spans="5:6" x14ac:dyDescent="0.25">
      <c r="E143">
        <v>-13.4499999999999</v>
      </c>
      <c r="F143">
        <f t="shared" si="3"/>
        <v>2.3224999999999949</v>
      </c>
    </row>
    <row r="144" spans="5:6" x14ac:dyDescent="0.25">
      <c r="E144">
        <v>-13.399999999999901</v>
      </c>
      <c r="F144">
        <f t="shared" si="3"/>
        <v>2.319999999999995</v>
      </c>
    </row>
    <row r="145" spans="5:6" x14ac:dyDescent="0.25">
      <c r="E145">
        <v>-13.3499999999999</v>
      </c>
      <c r="F145">
        <f t="shared" si="3"/>
        <v>2.317499999999995</v>
      </c>
    </row>
    <row r="146" spans="5:6" x14ac:dyDescent="0.25">
      <c r="E146">
        <v>-13.299999999999899</v>
      </c>
      <c r="F146">
        <f t="shared" si="3"/>
        <v>2.3149999999999951</v>
      </c>
    </row>
    <row r="147" spans="5:6" x14ac:dyDescent="0.25">
      <c r="E147">
        <v>-13.249999999999901</v>
      </c>
      <c r="F147">
        <f t="shared" si="3"/>
        <v>2.3124999999999951</v>
      </c>
    </row>
    <row r="148" spans="5:6" x14ac:dyDescent="0.25">
      <c r="E148">
        <v>-13.1999999999999</v>
      </c>
      <c r="F148">
        <f t="shared" si="3"/>
        <v>2.3099999999999952</v>
      </c>
    </row>
    <row r="149" spans="5:6" x14ac:dyDescent="0.25">
      <c r="E149">
        <v>-13.149999999999901</v>
      </c>
      <c r="F149">
        <f t="shared" si="3"/>
        <v>2.3074999999999948</v>
      </c>
    </row>
    <row r="150" spans="5:6" x14ac:dyDescent="0.25">
      <c r="E150">
        <v>-13.0999999999999</v>
      </c>
      <c r="F150">
        <f t="shared" si="3"/>
        <v>2.3049999999999948</v>
      </c>
    </row>
    <row r="151" spans="5:6" x14ac:dyDescent="0.25">
      <c r="E151">
        <v>-13.049999999999899</v>
      </c>
      <c r="F151">
        <f t="shared" si="3"/>
        <v>2.3024999999999949</v>
      </c>
    </row>
    <row r="152" spans="5:6" x14ac:dyDescent="0.25">
      <c r="E152">
        <v>-12.999999999999901</v>
      </c>
      <c r="F152">
        <f t="shared" si="3"/>
        <v>2.2999999999999949</v>
      </c>
    </row>
    <row r="153" spans="5:6" x14ac:dyDescent="0.25">
      <c r="E153">
        <v>-12.9499999999999</v>
      </c>
      <c r="F153">
        <f t="shared" si="3"/>
        <v>2.297499999999995</v>
      </c>
    </row>
    <row r="154" spans="5:6" x14ac:dyDescent="0.25">
      <c r="E154">
        <v>-12.899999999999901</v>
      </c>
      <c r="F154">
        <f t="shared" si="3"/>
        <v>2.294999999999995</v>
      </c>
    </row>
    <row r="155" spans="5:6" x14ac:dyDescent="0.25">
      <c r="E155">
        <v>-12.8499999999999</v>
      </c>
      <c r="F155">
        <f t="shared" si="3"/>
        <v>2.2924999999999951</v>
      </c>
    </row>
    <row r="156" spans="5:6" x14ac:dyDescent="0.25">
      <c r="E156">
        <v>-12.799999999999899</v>
      </c>
      <c r="F156">
        <f t="shared" si="3"/>
        <v>2.2899999999999947</v>
      </c>
    </row>
    <row r="157" spans="5:6" x14ac:dyDescent="0.25">
      <c r="E157">
        <v>-12.749999999999901</v>
      </c>
      <c r="F157">
        <f t="shared" si="3"/>
        <v>2.2874999999999952</v>
      </c>
    </row>
    <row r="158" spans="5:6" x14ac:dyDescent="0.25">
      <c r="E158">
        <v>-12.6999999999999</v>
      </c>
      <c r="F158">
        <f t="shared" si="3"/>
        <v>2.2849999999999948</v>
      </c>
    </row>
    <row r="159" spans="5:6" x14ac:dyDescent="0.25">
      <c r="E159">
        <v>-12.649999999999901</v>
      </c>
      <c r="F159">
        <f t="shared" si="3"/>
        <v>2.2824999999999949</v>
      </c>
    </row>
    <row r="160" spans="5:6" x14ac:dyDescent="0.25">
      <c r="E160">
        <v>-12.5999999999999</v>
      </c>
      <c r="F160">
        <f t="shared" si="3"/>
        <v>2.2799999999999949</v>
      </c>
    </row>
    <row r="161" spans="5:6" x14ac:dyDescent="0.25">
      <c r="E161">
        <v>-12.549999999999899</v>
      </c>
      <c r="F161">
        <f t="shared" si="3"/>
        <v>2.277499999999995</v>
      </c>
    </row>
    <row r="162" spans="5:6" x14ac:dyDescent="0.25">
      <c r="E162">
        <v>-12.499999999999901</v>
      </c>
      <c r="F162">
        <f t="shared" si="3"/>
        <v>2.274999999999995</v>
      </c>
    </row>
    <row r="163" spans="5:6" x14ac:dyDescent="0.25">
      <c r="E163">
        <v>-12.4499999999999</v>
      </c>
      <c r="F163">
        <f t="shared" si="3"/>
        <v>2.2724999999999951</v>
      </c>
    </row>
    <row r="164" spans="5:6" x14ac:dyDescent="0.25">
      <c r="E164">
        <v>-12.399999999999901</v>
      </c>
      <c r="F164">
        <f t="shared" si="3"/>
        <v>2.2699999999999951</v>
      </c>
    </row>
    <row r="165" spans="5:6" x14ac:dyDescent="0.25">
      <c r="E165">
        <v>-12.3499999999999</v>
      </c>
      <c r="F165">
        <f t="shared" si="3"/>
        <v>2.2674999999999947</v>
      </c>
    </row>
    <row r="166" spans="5:6" x14ac:dyDescent="0.25">
      <c r="E166">
        <v>-12.299999999999899</v>
      </c>
      <c r="F166">
        <f t="shared" si="3"/>
        <v>2.2649999999999948</v>
      </c>
    </row>
    <row r="167" spans="5:6" x14ac:dyDescent="0.25">
      <c r="E167">
        <v>-12.249999999999901</v>
      </c>
      <c r="F167">
        <f t="shared" si="3"/>
        <v>2.2624999999999948</v>
      </c>
    </row>
    <row r="168" spans="5:6" x14ac:dyDescent="0.25">
      <c r="E168">
        <v>-12.1999999999999</v>
      </c>
      <c r="F168">
        <f t="shared" si="3"/>
        <v>2.2599999999999949</v>
      </c>
    </row>
    <row r="169" spans="5:6" x14ac:dyDescent="0.25">
      <c r="E169">
        <v>-12.149999999999901</v>
      </c>
      <c r="F169">
        <f t="shared" si="3"/>
        <v>2.257499999999995</v>
      </c>
    </row>
    <row r="170" spans="5:6" x14ac:dyDescent="0.25">
      <c r="E170">
        <v>-12.0999999999999</v>
      </c>
      <c r="F170">
        <f t="shared" si="3"/>
        <v>2.254999999999995</v>
      </c>
    </row>
    <row r="171" spans="5:6" x14ac:dyDescent="0.25">
      <c r="E171">
        <v>-12.049999999999899</v>
      </c>
      <c r="F171">
        <f t="shared" si="3"/>
        <v>2.2524999999999951</v>
      </c>
    </row>
    <row r="172" spans="5:6" x14ac:dyDescent="0.25">
      <c r="E172">
        <v>-11.999999999999901</v>
      </c>
      <c r="F172">
        <f t="shared" si="3"/>
        <v>2.2499999999999951</v>
      </c>
    </row>
    <row r="173" spans="5:6" x14ac:dyDescent="0.25">
      <c r="E173">
        <v>-11.9499999999999</v>
      </c>
      <c r="F173">
        <f t="shared" si="3"/>
        <v>2.2474999999999952</v>
      </c>
    </row>
    <row r="174" spans="5:6" x14ac:dyDescent="0.25">
      <c r="E174">
        <v>-11.899999999999901</v>
      </c>
      <c r="F174">
        <f t="shared" si="3"/>
        <v>2.2449999999999948</v>
      </c>
    </row>
    <row r="175" spans="5:6" x14ac:dyDescent="0.25">
      <c r="E175">
        <v>-11.8499999999999</v>
      </c>
      <c r="F175">
        <f t="shared" si="3"/>
        <v>2.2424999999999948</v>
      </c>
    </row>
    <row r="176" spans="5:6" x14ac:dyDescent="0.25">
      <c r="E176">
        <v>-11.799999999999899</v>
      </c>
      <c r="F176">
        <f t="shared" si="3"/>
        <v>2.2399999999999949</v>
      </c>
    </row>
    <row r="177" spans="5:6" x14ac:dyDescent="0.25">
      <c r="E177">
        <v>-11.749999999999901</v>
      </c>
      <c r="F177">
        <f t="shared" si="3"/>
        <v>2.2374999999999949</v>
      </c>
    </row>
    <row r="178" spans="5:6" x14ac:dyDescent="0.25">
      <c r="E178">
        <v>-11.6999999999999</v>
      </c>
      <c r="F178">
        <f t="shared" si="3"/>
        <v>2.234999999999995</v>
      </c>
    </row>
    <row r="179" spans="5:6" x14ac:dyDescent="0.25">
      <c r="E179">
        <v>-11.649999999999901</v>
      </c>
      <c r="F179">
        <f t="shared" si="3"/>
        <v>2.232499999999995</v>
      </c>
    </row>
    <row r="180" spans="5:6" x14ac:dyDescent="0.25">
      <c r="E180">
        <v>-11.5999999999999</v>
      </c>
      <c r="F180">
        <f t="shared" si="3"/>
        <v>2.2299999999999951</v>
      </c>
    </row>
    <row r="181" spans="5:6" x14ac:dyDescent="0.25">
      <c r="E181">
        <v>-11.549999999999899</v>
      </c>
      <c r="F181">
        <f t="shared" si="3"/>
        <v>2.2274999999999947</v>
      </c>
    </row>
    <row r="182" spans="5:6" x14ac:dyDescent="0.25">
      <c r="E182">
        <v>-11.499999999999901</v>
      </c>
      <c r="F182">
        <f t="shared" si="3"/>
        <v>2.2249999999999952</v>
      </c>
    </row>
    <row r="183" spans="5:6" x14ac:dyDescent="0.25">
      <c r="E183">
        <v>-11.4499999999999</v>
      </c>
      <c r="F183">
        <f t="shared" si="3"/>
        <v>2.2224999999999948</v>
      </c>
    </row>
    <row r="184" spans="5:6" x14ac:dyDescent="0.25">
      <c r="E184">
        <v>-11.399999999999901</v>
      </c>
      <c r="F184">
        <f t="shared" si="3"/>
        <v>2.2199999999999949</v>
      </c>
    </row>
    <row r="185" spans="5:6" x14ac:dyDescent="0.25">
      <c r="E185">
        <v>-11.3499999999999</v>
      </c>
      <c r="F185">
        <f t="shared" si="3"/>
        <v>2.2174999999999949</v>
      </c>
    </row>
    <row r="186" spans="5:6" x14ac:dyDescent="0.25">
      <c r="E186">
        <v>-11.299999999999899</v>
      </c>
      <c r="F186">
        <f t="shared" si="3"/>
        <v>2.214999999999995</v>
      </c>
    </row>
    <row r="187" spans="5:6" x14ac:dyDescent="0.25">
      <c r="E187">
        <v>-11.249999999999901</v>
      </c>
      <c r="F187">
        <f t="shared" si="3"/>
        <v>2.212499999999995</v>
      </c>
    </row>
    <row r="188" spans="5:6" x14ac:dyDescent="0.25">
      <c r="E188">
        <v>-11.1999999999999</v>
      </c>
      <c r="F188">
        <f t="shared" si="3"/>
        <v>2.2099999999999951</v>
      </c>
    </row>
    <row r="189" spans="5:6" x14ac:dyDescent="0.25">
      <c r="E189">
        <v>-11.149999999999901</v>
      </c>
      <c r="F189">
        <f t="shared" si="3"/>
        <v>2.2074999999999951</v>
      </c>
    </row>
    <row r="190" spans="5:6" x14ac:dyDescent="0.25">
      <c r="E190">
        <v>-11.0999999999999</v>
      </c>
      <c r="F190">
        <f t="shared" si="3"/>
        <v>2.2049999999999947</v>
      </c>
    </row>
    <row r="191" spans="5:6" x14ac:dyDescent="0.25">
      <c r="E191">
        <v>-11.049999999999899</v>
      </c>
      <c r="F191">
        <f t="shared" si="3"/>
        <v>2.2024999999999948</v>
      </c>
    </row>
    <row r="192" spans="5:6" x14ac:dyDescent="0.25">
      <c r="E192">
        <v>-10.999999999999901</v>
      </c>
      <c r="F192">
        <f t="shared" si="3"/>
        <v>2.1999999999999948</v>
      </c>
    </row>
    <row r="193" spans="5:6" x14ac:dyDescent="0.25">
      <c r="E193">
        <v>-10.9499999999999</v>
      </c>
      <c r="F193">
        <f t="shared" si="3"/>
        <v>2.1974999999999949</v>
      </c>
    </row>
    <row r="194" spans="5:6" x14ac:dyDescent="0.25">
      <c r="E194">
        <v>-10.899999999999901</v>
      </c>
      <c r="F194">
        <f t="shared" si="3"/>
        <v>2.194999999999995</v>
      </c>
    </row>
    <row r="195" spans="5:6" x14ac:dyDescent="0.25">
      <c r="E195">
        <v>-10.8499999999999</v>
      </c>
      <c r="F195">
        <f t="shared" si="3"/>
        <v>2.192499999999995</v>
      </c>
    </row>
    <row r="196" spans="5:6" x14ac:dyDescent="0.25">
      <c r="E196">
        <v>-10.799999999999899</v>
      </c>
      <c r="F196">
        <f t="shared" si="3"/>
        <v>2.1899999999999951</v>
      </c>
    </row>
    <row r="197" spans="5:6" x14ac:dyDescent="0.25">
      <c r="E197">
        <v>-10.749999999999901</v>
      </c>
      <c r="F197">
        <f t="shared" si="3"/>
        <v>2.1874999999999951</v>
      </c>
    </row>
    <row r="198" spans="5:6" x14ac:dyDescent="0.25">
      <c r="E198">
        <v>-10.6999999999999</v>
      </c>
      <c r="F198">
        <f t="shared" si="3"/>
        <v>2.1849999999999952</v>
      </c>
    </row>
    <row r="199" spans="5:6" x14ac:dyDescent="0.25">
      <c r="E199">
        <v>-10.649999999999901</v>
      </c>
      <c r="F199">
        <f t="shared" si="3"/>
        <v>2.1824999999999948</v>
      </c>
    </row>
    <row r="200" spans="5:6" x14ac:dyDescent="0.25">
      <c r="E200">
        <v>-10.5999999999999</v>
      </c>
      <c r="F200">
        <f t="shared" si="3"/>
        <v>2.1799999999999948</v>
      </c>
    </row>
    <row r="201" spans="5:6" x14ac:dyDescent="0.25">
      <c r="E201">
        <v>-10.549999999999899</v>
      </c>
      <c r="F201">
        <f t="shared" si="3"/>
        <v>2.1774999999999949</v>
      </c>
    </row>
    <row r="202" spans="5:6" x14ac:dyDescent="0.25">
      <c r="E202">
        <v>-10.499999999999901</v>
      </c>
      <c r="F202">
        <f t="shared" si="3"/>
        <v>2.1749999999999949</v>
      </c>
    </row>
    <row r="203" spans="5:6" x14ac:dyDescent="0.25">
      <c r="E203">
        <v>-10.4499999999999</v>
      </c>
      <c r="F203">
        <f t="shared" si="3"/>
        <v>2.172499999999995</v>
      </c>
    </row>
    <row r="204" spans="5:6" x14ac:dyDescent="0.25">
      <c r="E204">
        <v>-10.399999999999901</v>
      </c>
      <c r="F204">
        <f t="shared" si="3"/>
        <v>2.169999999999995</v>
      </c>
    </row>
    <row r="205" spans="5:6" x14ac:dyDescent="0.25">
      <c r="E205">
        <v>-10.3499999999999</v>
      </c>
      <c r="F205">
        <f t="shared" ref="F205:F268" si="4">-(E205*$B$16*$B$13-3.3/2)</f>
        <v>2.1674999999999951</v>
      </c>
    </row>
    <row r="206" spans="5:6" x14ac:dyDescent="0.25">
      <c r="E206">
        <v>-10.299999999999899</v>
      </c>
      <c r="F206">
        <f t="shared" si="4"/>
        <v>2.1649999999999947</v>
      </c>
    </row>
    <row r="207" spans="5:6" x14ac:dyDescent="0.25">
      <c r="E207">
        <v>-10.249999999999901</v>
      </c>
      <c r="F207">
        <f t="shared" si="4"/>
        <v>2.1624999999999952</v>
      </c>
    </row>
    <row r="208" spans="5:6" x14ac:dyDescent="0.25">
      <c r="E208">
        <v>-10.1999999999999</v>
      </c>
      <c r="F208">
        <f t="shared" si="4"/>
        <v>2.1599999999999948</v>
      </c>
    </row>
    <row r="209" spans="5:6" x14ac:dyDescent="0.25">
      <c r="E209">
        <v>-10.149999999999901</v>
      </c>
      <c r="F209">
        <f t="shared" si="4"/>
        <v>2.1574999999999949</v>
      </c>
    </row>
    <row r="210" spans="5:6" x14ac:dyDescent="0.25">
      <c r="E210">
        <v>-10.0999999999999</v>
      </c>
      <c r="F210">
        <f t="shared" si="4"/>
        <v>2.1549999999999949</v>
      </c>
    </row>
    <row r="211" spans="5:6" x14ac:dyDescent="0.25">
      <c r="E211">
        <v>-10.049999999999899</v>
      </c>
      <c r="F211">
        <f t="shared" si="4"/>
        <v>2.152499999999995</v>
      </c>
    </row>
    <row r="212" spans="5:6" x14ac:dyDescent="0.25">
      <c r="E212">
        <v>-9.9999999999999005</v>
      </c>
      <c r="F212">
        <f t="shared" si="4"/>
        <v>2.149999999999995</v>
      </c>
    </row>
    <row r="213" spans="5:6" x14ac:dyDescent="0.25">
      <c r="E213">
        <v>-9.9499999999998998</v>
      </c>
      <c r="F213">
        <f t="shared" si="4"/>
        <v>2.1474999999999951</v>
      </c>
    </row>
    <row r="214" spans="5:6" x14ac:dyDescent="0.25">
      <c r="E214">
        <v>-9.8999999999999009</v>
      </c>
      <c r="F214">
        <f t="shared" si="4"/>
        <v>2.1449999999999951</v>
      </c>
    </row>
    <row r="215" spans="5:6" x14ac:dyDescent="0.25">
      <c r="E215">
        <v>-9.8499999999999002</v>
      </c>
      <c r="F215">
        <f t="shared" si="4"/>
        <v>2.1424999999999947</v>
      </c>
    </row>
    <row r="216" spans="5:6" x14ac:dyDescent="0.25">
      <c r="E216">
        <v>-9.7999999999998995</v>
      </c>
      <c r="F216">
        <f t="shared" si="4"/>
        <v>2.1399999999999948</v>
      </c>
    </row>
    <row r="217" spans="5:6" x14ac:dyDescent="0.25">
      <c r="E217">
        <v>-9.7499999999999005</v>
      </c>
      <c r="F217">
        <f t="shared" si="4"/>
        <v>2.1374999999999948</v>
      </c>
    </row>
    <row r="218" spans="5:6" x14ac:dyDescent="0.25">
      <c r="E218">
        <v>-9.6999999999998998</v>
      </c>
      <c r="F218">
        <f t="shared" si="4"/>
        <v>2.1349999999999949</v>
      </c>
    </row>
    <row r="219" spans="5:6" x14ac:dyDescent="0.25">
      <c r="E219">
        <v>-9.6499999999999009</v>
      </c>
      <c r="F219">
        <f t="shared" si="4"/>
        <v>2.132499999999995</v>
      </c>
    </row>
    <row r="220" spans="5:6" x14ac:dyDescent="0.25">
      <c r="E220">
        <v>-9.5999999999999002</v>
      </c>
      <c r="F220">
        <f t="shared" si="4"/>
        <v>2.129999999999995</v>
      </c>
    </row>
    <row r="221" spans="5:6" x14ac:dyDescent="0.25">
      <c r="E221">
        <v>-9.5499999999998995</v>
      </c>
      <c r="F221">
        <f t="shared" si="4"/>
        <v>2.1274999999999951</v>
      </c>
    </row>
    <row r="222" spans="5:6" x14ac:dyDescent="0.25">
      <c r="E222">
        <v>-9.4999999999999005</v>
      </c>
      <c r="F222">
        <f t="shared" si="4"/>
        <v>2.1249999999999951</v>
      </c>
    </row>
    <row r="223" spans="5:6" x14ac:dyDescent="0.25">
      <c r="E223">
        <v>-9.4499999999998998</v>
      </c>
      <c r="F223">
        <f t="shared" si="4"/>
        <v>2.1224999999999952</v>
      </c>
    </row>
    <row r="224" spans="5:6" x14ac:dyDescent="0.25">
      <c r="E224">
        <v>-9.3999999999997996</v>
      </c>
      <c r="F224">
        <f t="shared" si="4"/>
        <v>2.1199999999999899</v>
      </c>
    </row>
    <row r="225" spans="5:6" x14ac:dyDescent="0.25">
      <c r="E225">
        <v>-9.3499999999998007</v>
      </c>
      <c r="F225">
        <f t="shared" si="4"/>
        <v>2.1174999999999899</v>
      </c>
    </row>
    <row r="226" spans="5:6" x14ac:dyDescent="0.25">
      <c r="E226">
        <v>-9.2999999999998</v>
      </c>
      <c r="F226">
        <f t="shared" si="4"/>
        <v>2.11499999999999</v>
      </c>
    </row>
    <row r="227" spans="5:6" x14ac:dyDescent="0.25">
      <c r="E227">
        <v>-9.2499999999997993</v>
      </c>
      <c r="F227">
        <f t="shared" si="4"/>
        <v>2.1124999999999901</v>
      </c>
    </row>
    <row r="228" spans="5:6" x14ac:dyDescent="0.25">
      <c r="E228">
        <v>-9.1999999999998003</v>
      </c>
      <c r="F228">
        <f t="shared" si="4"/>
        <v>2.1099999999999901</v>
      </c>
    </row>
    <row r="229" spans="5:6" x14ac:dyDescent="0.25">
      <c r="E229">
        <v>-9.1499999999997996</v>
      </c>
      <c r="F229">
        <f t="shared" si="4"/>
        <v>2.1074999999999897</v>
      </c>
    </row>
    <row r="230" spans="5:6" x14ac:dyDescent="0.25">
      <c r="E230">
        <v>-9.0999999999998007</v>
      </c>
      <c r="F230">
        <f t="shared" si="4"/>
        <v>2.1049999999999898</v>
      </c>
    </row>
    <row r="231" spans="5:6" x14ac:dyDescent="0.25">
      <c r="E231">
        <v>-9.0499999999998</v>
      </c>
      <c r="F231">
        <f t="shared" si="4"/>
        <v>2.1024999999999898</v>
      </c>
    </row>
    <row r="232" spans="5:6" x14ac:dyDescent="0.25">
      <c r="E232">
        <v>-8.9999999999997993</v>
      </c>
      <c r="F232">
        <f t="shared" si="4"/>
        <v>2.0999999999999899</v>
      </c>
    </row>
    <row r="233" spans="5:6" x14ac:dyDescent="0.25">
      <c r="E233">
        <v>-8.9499999999998003</v>
      </c>
      <c r="F233">
        <f t="shared" si="4"/>
        <v>2.0974999999999899</v>
      </c>
    </row>
    <row r="234" spans="5:6" x14ac:dyDescent="0.25">
      <c r="E234">
        <v>-8.8999999999997996</v>
      </c>
      <c r="F234">
        <f t="shared" si="4"/>
        <v>2.09499999999999</v>
      </c>
    </row>
    <row r="235" spans="5:6" x14ac:dyDescent="0.25">
      <c r="E235">
        <v>-8.8499999999998007</v>
      </c>
      <c r="F235">
        <f t="shared" si="4"/>
        <v>2.09249999999999</v>
      </c>
    </row>
    <row r="236" spans="5:6" x14ac:dyDescent="0.25">
      <c r="E236">
        <v>-8.7999999999998</v>
      </c>
      <c r="F236">
        <f t="shared" si="4"/>
        <v>2.0899999999999901</v>
      </c>
    </row>
    <row r="237" spans="5:6" x14ac:dyDescent="0.25">
      <c r="E237">
        <v>-8.7499999999997993</v>
      </c>
      <c r="F237">
        <f t="shared" si="4"/>
        <v>2.0874999999999897</v>
      </c>
    </row>
    <row r="238" spans="5:6" x14ac:dyDescent="0.25">
      <c r="E238">
        <v>-8.6999999999998003</v>
      </c>
      <c r="F238">
        <f t="shared" si="4"/>
        <v>2.0849999999999902</v>
      </c>
    </row>
    <row r="239" spans="5:6" x14ac:dyDescent="0.25">
      <c r="E239">
        <v>-8.6499999999997996</v>
      </c>
      <c r="F239">
        <f t="shared" si="4"/>
        <v>2.0824999999999898</v>
      </c>
    </row>
    <row r="240" spans="5:6" x14ac:dyDescent="0.25">
      <c r="E240">
        <v>-8.5999999999998007</v>
      </c>
      <c r="F240">
        <f t="shared" si="4"/>
        <v>2.0799999999999899</v>
      </c>
    </row>
    <row r="241" spans="5:6" x14ac:dyDescent="0.25">
      <c r="E241">
        <v>-8.5499999999998</v>
      </c>
      <c r="F241">
        <f t="shared" si="4"/>
        <v>2.0774999999999899</v>
      </c>
    </row>
    <row r="242" spans="5:6" x14ac:dyDescent="0.25">
      <c r="E242">
        <v>-8.4999999999997993</v>
      </c>
      <c r="F242">
        <f t="shared" si="4"/>
        <v>2.07499999999999</v>
      </c>
    </row>
    <row r="243" spans="5:6" x14ac:dyDescent="0.25">
      <c r="E243">
        <v>-8.4499999999998003</v>
      </c>
      <c r="F243">
        <f t="shared" si="4"/>
        <v>2.07249999999999</v>
      </c>
    </row>
    <row r="244" spans="5:6" x14ac:dyDescent="0.25">
      <c r="E244">
        <v>-8.3999999999997996</v>
      </c>
      <c r="F244">
        <f t="shared" si="4"/>
        <v>2.0699999999999901</v>
      </c>
    </row>
    <row r="245" spans="5:6" x14ac:dyDescent="0.25">
      <c r="E245">
        <v>-8.3499999999998007</v>
      </c>
      <c r="F245">
        <f t="shared" si="4"/>
        <v>2.0674999999999901</v>
      </c>
    </row>
    <row r="246" spans="5:6" x14ac:dyDescent="0.25">
      <c r="E246">
        <v>-8.2999999999998</v>
      </c>
      <c r="F246">
        <f t="shared" si="4"/>
        <v>2.0649999999999897</v>
      </c>
    </row>
    <row r="247" spans="5:6" x14ac:dyDescent="0.25">
      <c r="E247">
        <v>-8.2499999999997993</v>
      </c>
      <c r="F247">
        <f t="shared" si="4"/>
        <v>2.0624999999999898</v>
      </c>
    </row>
    <row r="248" spans="5:6" x14ac:dyDescent="0.25">
      <c r="E248">
        <v>-8.1999999999998003</v>
      </c>
      <c r="F248">
        <f t="shared" si="4"/>
        <v>2.0599999999999898</v>
      </c>
    </row>
    <row r="249" spans="5:6" x14ac:dyDescent="0.25">
      <c r="E249">
        <v>-8.1499999999997996</v>
      </c>
      <c r="F249">
        <f t="shared" si="4"/>
        <v>2.0574999999999899</v>
      </c>
    </row>
    <row r="250" spans="5:6" x14ac:dyDescent="0.25">
      <c r="E250">
        <v>-8.0999999999998007</v>
      </c>
      <c r="F250">
        <f t="shared" si="4"/>
        <v>2.0549999999999899</v>
      </c>
    </row>
    <row r="251" spans="5:6" x14ac:dyDescent="0.25">
      <c r="E251">
        <v>-8.0499999999998</v>
      </c>
      <c r="F251">
        <f t="shared" si="4"/>
        <v>2.05249999999999</v>
      </c>
    </row>
    <row r="252" spans="5:6" x14ac:dyDescent="0.25">
      <c r="E252">
        <v>-7.9999999999998002</v>
      </c>
      <c r="F252">
        <f t="shared" si="4"/>
        <v>2.0499999999999901</v>
      </c>
    </row>
    <row r="253" spans="5:6" x14ac:dyDescent="0.25">
      <c r="E253">
        <v>-7.9499999999998003</v>
      </c>
      <c r="F253">
        <f t="shared" si="4"/>
        <v>2.0474999999999901</v>
      </c>
    </row>
    <row r="254" spans="5:6" x14ac:dyDescent="0.25">
      <c r="E254">
        <v>-7.8999999999997996</v>
      </c>
      <c r="F254">
        <f t="shared" si="4"/>
        <v>2.0449999999999897</v>
      </c>
    </row>
    <row r="255" spans="5:6" x14ac:dyDescent="0.25">
      <c r="E255">
        <v>-7.8499999999997998</v>
      </c>
      <c r="F255">
        <f t="shared" si="4"/>
        <v>2.0424999999999898</v>
      </c>
    </row>
    <row r="256" spans="5:6" x14ac:dyDescent="0.25">
      <c r="E256">
        <v>-7.7999999999998</v>
      </c>
      <c r="F256">
        <f t="shared" si="4"/>
        <v>2.0399999999999898</v>
      </c>
    </row>
    <row r="257" spans="5:6" x14ac:dyDescent="0.25">
      <c r="E257">
        <v>-7.7499999999998002</v>
      </c>
      <c r="F257">
        <f t="shared" si="4"/>
        <v>2.0374999999999899</v>
      </c>
    </row>
    <row r="258" spans="5:6" x14ac:dyDescent="0.25">
      <c r="E258">
        <v>-7.6999999999998003</v>
      </c>
      <c r="F258">
        <f t="shared" si="4"/>
        <v>2.0349999999999899</v>
      </c>
    </row>
    <row r="259" spans="5:6" x14ac:dyDescent="0.25">
      <c r="E259">
        <v>-7.6499999999997996</v>
      </c>
      <c r="F259">
        <f t="shared" si="4"/>
        <v>2.03249999999999</v>
      </c>
    </row>
    <row r="260" spans="5:6" x14ac:dyDescent="0.25">
      <c r="E260">
        <v>-7.5999999999997998</v>
      </c>
      <c r="F260">
        <f t="shared" si="4"/>
        <v>2.02999999999999</v>
      </c>
    </row>
    <row r="261" spans="5:6" x14ac:dyDescent="0.25">
      <c r="E261">
        <v>-7.5499999999998</v>
      </c>
      <c r="F261">
        <f t="shared" si="4"/>
        <v>2.0274999999999901</v>
      </c>
    </row>
    <row r="262" spans="5:6" x14ac:dyDescent="0.25">
      <c r="E262">
        <v>-7.4999999999998002</v>
      </c>
      <c r="F262">
        <f t="shared" si="4"/>
        <v>2.0249999999999897</v>
      </c>
    </row>
    <row r="263" spans="5:6" x14ac:dyDescent="0.25">
      <c r="E263">
        <v>-7.4499999999998003</v>
      </c>
      <c r="F263">
        <f t="shared" si="4"/>
        <v>2.0224999999999902</v>
      </c>
    </row>
    <row r="264" spans="5:6" x14ac:dyDescent="0.25">
      <c r="E264">
        <v>-7.3999999999997996</v>
      </c>
      <c r="F264">
        <f t="shared" si="4"/>
        <v>2.0199999999999898</v>
      </c>
    </row>
    <row r="265" spans="5:6" x14ac:dyDescent="0.25">
      <c r="E265">
        <v>-7.3499999999997998</v>
      </c>
      <c r="F265">
        <f t="shared" si="4"/>
        <v>2.0174999999999899</v>
      </c>
    </row>
    <row r="266" spans="5:6" x14ac:dyDescent="0.25">
      <c r="E266">
        <v>-7.2999999999998</v>
      </c>
      <c r="F266">
        <f t="shared" si="4"/>
        <v>2.0149999999999899</v>
      </c>
    </row>
    <row r="267" spans="5:6" x14ac:dyDescent="0.25">
      <c r="E267">
        <v>-7.2499999999998002</v>
      </c>
      <c r="F267">
        <f t="shared" si="4"/>
        <v>2.01249999999999</v>
      </c>
    </row>
    <row r="268" spans="5:6" x14ac:dyDescent="0.25">
      <c r="E268">
        <v>-7.1999999999998003</v>
      </c>
      <c r="F268">
        <f t="shared" si="4"/>
        <v>2.00999999999999</v>
      </c>
    </row>
    <row r="269" spans="5:6" x14ac:dyDescent="0.25">
      <c r="E269">
        <v>-7.1499999999997996</v>
      </c>
      <c r="F269">
        <f t="shared" ref="F269:F332" si="5">-(E269*$B$16*$B$13-3.3/2)</f>
        <v>2.0074999999999901</v>
      </c>
    </row>
    <row r="270" spans="5:6" x14ac:dyDescent="0.25">
      <c r="E270">
        <v>-7.0999999999997998</v>
      </c>
      <c r="F270">
        <f t="shared" si="5"/>
        <v>2.0049999999999901</v>
      </c>
    </row>
    <row r="271" spans="5:6" x14ac:dyDescent="0.25">
      <c r="E271">
        <v>-7.0499999999998</v>
      </c>
      <c r="F271">
        <f t="shared" si="5"/>
        <v>2.0024999999999897</v>
      </c>
    </row>
    <row r="272" spans="5:6" x14ac:dyDescent="0.25">
      <c r="E272">
        <v>-6.9999999999998002</v>
      </c>
      <c r="F272">
        <f t="shared" si="5"/>
        <v>1.9999999999999898</v>
      </c>
    </row>
    <row r="273" spans="5:6" x14ac:dyDescent="0.25">
      <c r="E273">
        <v>-6.9499999999998003</v>
      </c>
      <c r="F273">
        <f t="shared" si="5"/>
        <v>1.9974999999999898</v>
      </c>
    </row>
    <row r="274" spans="5:6" x14ac:dyDescent="0.25">
      <c r="E274">
        <v>-6.8999999999997996</v>
      </c>
      <c r="F274">
        <f t="shared" si="5"/>
        <v>1.9949999999999899</v>
      </c>
    </row>
    <row r="275" spans="5:6" x14ac:dyDescent="0.25">
      <c r="E275">
        <v>-6.8499999999997998</v>
      </c>
      <c r="F275">
        <f t="shared" si="5"/>
        <v>1.9924999999999899</v>
      </c>
    </row>
    <row r="276" spans="5:6" x14ac:dyDescent="0.25">
      <c r="E276">
        <v>-6.7999999999998</v>
      </c>
      <c r="F276">
        <f t="shared" si="5"/>
        <v>1.98999999999999</v>
      </c>
    </row>
    <row r="277" spans="5:6" x14ac:dyDescent="0.25">
      <c r="E277">
        <v>-6.7499999999998002</v>
      </c>
      <c r="F277">
        <f t="shared" si="5"/>
        <v>1.9874999999999898</v>
      </c>
    </row>
    <row r="278" spans="5:6" x14ac:dyDescent="0.25">
      <c r="E278">
        <v>-6.6999999999998003</v>
      </c>
      <c r="F278">
        <f t="shared" si="5"/>
        <v>1.9849999999999901</v>
      </c>
    </row>
    <row r="279" spans="5:6" x14ac:dyDescent="0.25">
      <c r="E279">
        <v>-6.6499999999997996</v>
      </c>
      <c r="F279">
        <f t="shared" si="5"/>
        <v>1.9824999999999899</v>
      </c>
    </row>
    <row r="280" spans="5:6" x14ac:dyDescent="0.25">
      <c r="E280">
        <v>-6.5999999999997998</v>
      </c>
      <c r="F280">
        <f t="shared" si="5"/>
        <v>1.9799999999999898</v>
      </c>
    </row>
    <row r="281" spans="5:6" x14ac:dyDescent="0.25">
      <c r="E281">
        <v>-6.5499999999998</v>
      </c>
      <c r="F281">
        <f t="shared" si="5"/>
        <v>1.9774999999999898</v>
      </c>
    </row>
    <row r="282" spans="5:6" x14ac:dyDescent="0.25">
      <c r="E282">
        <v>-6.4999999999998002</v>
      </c>
      <c r="F282">
        <f t="shared" si="5"/>
        <v>1.9749999999999899</v>
      </c>
    </row>
    <row r="283" spans="5:6" x14ac:dyDescent="0.25">
      <c r="E283">
        <v>-6.4499999999998003</v>
      </c>
      <c r="F283">
        <f t="shared" si="5"/>
        <v>1.9724999999999899</v>
      </c>
    </row>
    <row r="284" spans="5:6" x14ac:dyDescent="0.25">
      <c r="E284">
        <v>-6.3999999999997996</v>
      </c>
      <c r="F284">
        <f t="shared" si="5"/>
        <v>1.96999999999999</v>
      </c>
    </row>
    <row r="285" spans="5:6" x14ac:dyDescent="0.25">
      <c r="E285">
        <v>-6.3499999999997998</v>
      </c>
      <c r="F285">
        <f t="shared" si="5"/>
        <v>1.96749999999999</v>
      </c>
    </row>
    <row r="286" spans="5:6" x14ac:dyDescent="0.25">
      <c r="E286">
        <v>-6.2999999999998</v>
      </c>
      <c r="F286">
        <f t="shared" si="5"/>
        <v>1.9649999999999899</v>
      </c>
    </row>
    <row r="287" spans="5:6" x14ac:dyDescent="0.25">
      <c r="E287">
        <v>-6.2499999999998002</v>
      </c>
      <c r="F287">
        <f t="shared" si="5"/>
        <v>1.9624999999999899</v>
      </c>
    </row>
    <row r="288" spans="5:6" x14ac:dyDescent="0.25">
      <c r="E288">
        <v>-6.1999999999998003</v>
      </c>
      <c r="F288">
        <f t="shared" si="5"/>
        <v>1.95999999999999</v>
      </c>
    </row>
    <row r="289" spans="5:6" x14ac:dyDescent="0.25">
      <c r="E289">
        <v>-6.1499999999997996</v>
      </c>
      <c r="F289">
        <f t="shared" si="5"/>
        <v>1.9574999999999898</v>
      </c>
    </row>
    <row r="290" spans="5:6" x14ac:dyDescent="0.25">
      <c r="E290">
        <v>-6.0999999999997998</v>
      </c>
      <c r="F290">
        <f t="shared" si="5"/>
        <v>1.9549999999999899</v>
      </c>
    </row>
    <row r="291" spans="5:6" x14ac:dyDescent="0.25">
      <c r="E291">
        <v>-6.0499999999998</v>
      </c>
      <c r="F291">
        <f t="shared" si="5"/>
        <v>1.9524999999999899</v>
      </c>
    </row>
    <row r="292" spans="5:6" x14ac:dyDescent="0.25">
      <c r="E292">
        <v>-5.9999999999998002</v>
      </c>
      <c r="F292">
        <f t="shared" si="5"/>
        <v>1.94999999999999</v>
      </c>
    </row>
    <row r="293" spans="5:6" x14ac:dyDescent="0.25">
      <c r="E293">
        <v>-5.9499999999998003</v>
      </c>
      <c r="F293">
        <f t="shared" si="5"/>
        <v>1.94749999999999</v>
      </c>
    </row>
    <row r="294" spans="5:6" x14ac:dyDescent="0.25">
      <c r="E294">
        <v>-5.8999999999997996</v>
      </c>
      <c r="F294">
        <f t="shared" si="5"/>
        <v>1.9449999999999898</v>
      </c>
    </row>
    <row r="295" spans="5:6" x14ac:dyDescent="0.25">
      <c r="E295">
        <v>-5.8499999999997998</v>
      </c>
      <c r="F295">
        <f t="shared" si="5"/>
        <v>1.9424999999999899</v>
      </c>
    </row>
    <row r="296" spans="5:6" x14ac:dyDescent="0.25">
      <c r="E296">
        <v>-5.7999999999998</v>
      </c>
      <c r="F296">
        <f t="shared" si="5"/>
        <v>1.93999999999999</v>
      </c>
    </row>
    <row r="297" spans="5:6" x14ac:dyDescent="0.25">
      <c r="E297">
        <v>-5.7499999999998002</v>
      </c>
      <c r="F297">
        <f t="shared" si="5"/>
        <v>1.93749999999999</v>
      </c>
    </row>
    <row r="298" spans="5:6" x14ac:dyDescent="0.25">
      <c r="E298">
        <v>-5.6999999999998003</v>
      </c>
      <c r="F298">
        <f t="shared" si="5"/>
        <v>1.9349999999999898</v>
      </c>
    </row>
    <row r="299" spans="5:6" x14ac:dyDescent="0.25">
      <c r="E299">
        <v>-5.6499999999997996</v>
      </c>
      <c r="F299">
        <f t="shared" si="5"/>
        <v>1.9324999999999899</v>
      </c>
    </row>
    <row r="300" spans="5:6" x14ac:dyDescent="0.25">
      <c r="E300">
        <v>-5.5999999999997998</v>
      </c>
      <c r="F300">
        <f t="shared" si="5"/>
        <v>1.9299999999999899</v>
      </c>
    </row>
    <row r="301" spans="5:6" x14ac:dyDescent="0.25">
      <c r="E301">
        <v>-5.5499999999998</v>
      </c>
      <c r="F301">
        <f t="shared" si="5"/>
        <v>1.92749999999999</v>
      </c>
    </row>
    <row r="302" spans="5:6" x14ac:dyDescent="0.25">
      <c r="E302">
        <v>-5.4999999999998002</v>
      </c>
      <c r="F302">
        <f t="shared" si="5"/>
        <v>1.9249999999999901</v>
      </c>
    </row>
    <row r="303" spans="5:6" x14ac:dyDescent="0.25">
      <c r="E303">
        <v>-5.4499999999998003</v>
      </c>
      <c r="F303">
        <f t="shared" si="5"/>
        <v>1.9224999999999899</v>
      </c>
    </row>
    <row r="304" spans="5:6" x14ac:dyDescent="0.25">
      <c r="E304">
        <v>-5.3999999999997996</v>
      </c>
      <c r="F304">
        <f t="shared" si="5"/>
        <v>1.9199999999999899</v>
      </c>
    </row>
    <row r="305" spans="5:6" x14ac:dyDescent="0.25">
      <c r="E305">
        <v>-5.3499999999997998</v>
      </c>
      <c r="F305">
        <f t="shared" si="5"/>
        <v>1.9174999999999898</v>
      </c>
    </row>
    <row r="306" spans="5:6" x14ac:dyDescent="0.25">
      <c r="E306">
        <v>-5.2999999999998</v>
      </c>
      <c r="F306">
        <f t="shared" si="5"/>
        <v>1.9149999999999898</v>
      </c>
    </row>
    <row r="307" spans="5:6" x14ac:dyDescent="0.25">
      <c r="E307">
        <v>-5.2499999999998002</v>
      </c>
      <c r="F307">
        <f t="shared" si="5"/>
        <v>1.9124999999999899</v>
      </c>
    </row>
    <row r="308" spans="5:6" x14ac:dyDescent="0.25">
      <c r="E308">
        <v>-5.1999999999998003</v>
      </c>
      <c r="F308">
        <f t="shared" si="5"/>
        <v>1.9099999999999899</v>
      </c>
    </row>
    <row r="309" spans="5:6" x14ac:dyDescent="0.25">
      <c r="E309">
        <v>-5.1499999999997996</v>
      </c>
      <c r="F309">
        <f t="shared" si="5"/>
        <v>1.90749999999999</v>
      </c>
    </row>
    <row r="310" spans="5:6" x14ac:dyDescent="0.25">
      <c r="E310">
        <v>-5.0999999999997998</v>
      </c>
      <c r="F310">
        <f t="shared" si="5"/>
        <v>1.90499999999999</v>
      </c>
    </row>
    <row r="311" spans="5:6" x14ac:dyDescent="0.25">
      <c r="E311">
        <v>-5.0499999999998</v>
      </c>
      <c r="F311">
        <f t="shared" si="5"/>
        <v>1.9024999999999899</v>
      </c>
    </row>
    <row r="312" spans="5:6" x14ac:dyDescent="0.25">
      <c r="E312">
        <v>-4.9999999999998002</v>
      </c>
      <c r="F312">
        <f t="shared" si="5"/>
        <v>1.8999999999999899</v>
      </c>
    </row>
    <row r="313" spans="5:6" x14ac:dyDescent="0.25">
      <c r="E313">
        <v>-4.9499999999998003</v>
      </c>
      <c r="F313">
        <f t="shared" si="5"/>
        <v>1.89749999999999</v>
      </c>
    </row>
    <row r="314" spans="5:6" x14ac:dyDescent="0.25">
      <c r="E314">
        <v>-4.8999999999997996</v>
      </c>
      <c r="F314">
        <f t="shared" si="5"/>
        <v>1.8949999999999898</v>
      </c>
    </row>
    <row r="315" spans="5:6" x14ac:dyDescent="0.25">
      <c r="E315">
        <v>-4.8499999999997998</v>
      </c>
      <c r="F315">
        <f t="shared" si="5"/>
        <v>1.8924999999999899</v>
      </c>
    </row>
    <row r="316" spans="5:6" x14ac:dyDescent="0.25">
      <c r="E316">
        <v>-4.7999999999998</v>
      </c>
      <c r="F316">
        <f t="shared" si="5"/>
        <v>1.8899999999999899</v>
      </c>
    </row>
    <row r="317" spans="5:6" x14ac:dyDescent="0.25">
      <c r="E317">
        <v>-4.7499999999998002</v>
      </c>
      <c r="F317">
        <f t="shared" si="5"/>
        <v>1.88749999999999</v>
      </c>
    </row>
    <row r="318" spans="5:6" x14ac:dyDescent="0.25">
      <c r="E318">
        <v>-4.6999999999998003</v>
      </c>
      <c r="F318">
        <f t="shared" si="5"/>
        <v>1.88499999999999</v>
      </c>
    </row>
    <row r="319" spans="5:6" x14ac:dyDescent="0.25">
      <c r="E319">
        <v>-4.6499999999997996</v>
      </c>
      <c r="F319">
        <f t="shared" si="5"/>
        <v>1.8824999999999898</v>
      </c>
    </row>
    <row r="320" spans="5:6" x14ac:dyDescent="0.25">
      <c r="E320">
        <v>-4.5999999999997998</v>
      </c>
      <c r="F320">
        <f t="shared" si="5"/>
        <v>1.8799999999999899</v>
      </c>
    </row>
    <row r="321" spans="5:6" x14ac:dyDescent="0.25">
      <c r="E321">
        <v>-4.5499999999998</v>
      </c>
      <c r="F321">
        <f t="shared" si="5"/>
        <v>1.87749999999999</v>
      </c>
    </row>
    <row r="322" spans="5:6" x14ac:dyDescent="0.25">
      <c r="E322">
        <v>-4.4999999999998002</v>
      </c>
      <c r="F322">
        <f t="shared" si="5"/>
        <v>1.87499999999999</v>
      </c>
    </row>
    <row r="323" spans="5:6" x14ac:dyDescent="0.25">
      <c r="E323">
        <v>-4.4499999999998003</v>
      </c>
      <c r="F323">
        <f t="shared" si="5"/>
        <v>1.8724999999999898</v>
      </c>
    </row>
    <row r="324" spans="5:6" x14ac:dyDescent="0.25">
      <c r="E324">
        <v>-4.3999999999997996</v>
      </c>
      <c r="F324">
        <f t="shared" si="5"/>
        <v>1.8699999999999899</v>
      </c>
    </row>
    <row r="325" spans="5:6" x14ac:dyDescent="0.25">
      <c r="E325">
        <v>-4.3499999999997998</v>
      </c>
      <c r="F325">
        <f t="shared" si="5"/>
        <v>1.8674999999999899</v>
      </c>
    </row>
    <row r="326" spans="5:6" x14ac:dyDescent="0.25">
      <c r="E326">
        <v>-4.2999999999998</v>
      </c>
      <c r="F326">
        <f t="shared" si="5"/>
        <v>1.86499999999999</v>
      </c>
    </row>
    <row r="327" spans="5:6" x14ac:dyDescent="0.25">
      <c r="E327">
        <v>-4.2499999999998002</v>
      </c>
      <c r="F327">
        <f t="shared" si="5"/>
        <v>1.8624999999999901</v>
      </c>
    </row>
    <row r="328" spans="5:6" x14ac:dyDescent="0.25">
      <c r="E328">
        <v>-4.1999999999998003</v>
      </c>
      <c r="F328">
        <f t="shared" si="5"/>
        <v>1.8599999999999899</v>
      </c>
    </row>
    <row r="329" spans="5:6" x14ac:dyDescent="0.25">
      <c r="E329">
        <v>-4.1499999999997996</v>
      </c>
      <c r="F329">
        <f t="shared" si="5"/>
        <v>1.8574999999999899</v>
      </c>
    </row>
    <row r="330" spans="5:6" x14ac:dyDescent="0.25">
      <c r="E330">
        <v>-4.0999999999997998</v>
      </c>
      <c r="F330">
        <f t="shared" si="5"/>
        <v>1.85499999999999</v>
      </c>
    </row>
    <row r="331" spans="5:6" x14ac:dyDescent="0.25">
      <c r="E331">
        <v>-4.0499999999998</v>
      </c>
      <c r="F331">
        <f t="shared" si="5"/>
        <v>1.8524999999999898</v>
      </c>
    </row>
    <row r="332" spans="5:6" x14ac:dyDescent="0.25">
      <c r="E332">
        <v>-3.9999999999998002</v>
      </c>
      <c r="F332">
        <f t="shared" si="5"/>
        <v>1.8499999999999899</v>
      </c>
    </row>
    <row r="333" spans="5:6" x14ac:dyDescent="0.25">
      <c r="E333">
        <v>-3.9499999999997999</v>
      </c>
      <c r="F333">
        <f t="shared" ref="F333:F396" si="6">-(E333*$B$16*$B$13-3.3/2)</f>
        <v>1.8474999999999899</v>
      </c>
    </row>
    <row r="334" spans="5:6" x14ac:dyDescent="0.25">
      <c r="E334">
        <v>-3.8999999999998001</v>
      </c>
      <c r="F334">
        <f t="shared" si="6"/>
        <v>1.84499999999999</v>
      </c>
    </row>
    <row r="335" spans="5:6" x14ac:dyDescent="0.25">
      <c r="E335">
        <v>-3.8499999999997998</v>
      </c>
      <c r="F335">
        <f t="shared" si="6"/>
        <v>1.8424999999999898</v>
      </c>
    </row>
    <row r="336" spans="5:6" x14ac:dyDescent="0.25">
      <c r="E336">
        <v>-3.7999999999998</v>
      </c>
      <c r="F336">
        <f t="shared" si="6"/>
        <v>1.8399999999999899</v>
      </c>
    </row>
    <row r="337" spans="5:6" x14ac:dyDescent="0.25">
      <c r="E337">
        <v>-3.7499999999998002</v>
      </c>
      <c r="F337">
        <f t="shared" si="6"/>
        <v>1.8374999999999899</v>
      </c>
    </row>
    <row r="338" spans="5:6" x14ac:dyDescent="0.25">
      <c r="E338">
        <v>-3.6999999999997999</v>
      </c>
      <c r="F338">
        <f t="shared" si="6"/>
        <v>1.83499999999999</v>
      </c>
    </row>
    <row r="339" spans="5:6" x14ac:dyDescent="0.25">
      <c r="E339">
        <v>-3.6499999999998001</v>
      </c>
      <c r="F339">
        <f t="shared" si="6"/>
        <v>1.83249999999999</v>
      </c>
    </row>
    <row r="340" spans="5:6" x14ac:dyDescent="0.25">
      <c r="E340">
        <v>-3.5999999999997998</v>
      </c>
      <c r="F340">
        <f t="shared" si="6"/>
        <v>1.8299999999999899</v>
      </c>
    </row>
    <row r="341" spans="5:6" x14ac:dyDescent="0.25">
      <c r="E341">
        <v>-3.5499999999998</v>
      </c>
      <c r="F341">
        <f t="shared" si="6"/>
        <v>1.8274999999999899</v>
      </c>
    </row>
    <row r="342" spans="5:6" x14ac:dyDescent="0.25">
      <c r="E342">
        <v>-3.4999999999998002</v>
      </c>
      <c r="F342">
        <f t="shared" si="6"/>
        <v>1.82499999999999</v>
      </c>
    </row>
    <row r="343" spans="5:6" x14ac:dyDescent="0.25">
      <c r="E343">
        <v>-3.4499999999997999</v>
      </c>
      <c r="F343">
        <f t="shared" si="6"/>
        <v>1.82249999999999</v>
      </c>
    </row>
    <row r="344" spans="5:6" x14ac:dyDescent="0.25">
      <c r="E344">
        <v>-3.3999999999998001</v>
      </c>
      <c r="F344">
        <f t="shared" si="6"/>
        <v>1.8199999999999898</v>
      </c>
    </row>
    <row r="345" spans="5:6" x14ac:dyDescent="0.25">
      <c r="E345">
        <v>-3.3499999999997998</v>
      </c>
      <c r="F345">
        <f t="shared" si="6"/>
        <v>1.8174999999999899</v>
      </c>
    </row>
    <row r="346" spans="5:6" x14ac:dyDescent="0.25">
      <c r="E346">
        <v>-3.2999999999998</v>
      </c>
      <c r="F346">
        <f t="shared" si="6"/>
        <v>1.81499999999999</v>
      </c>
    </row>
    <row r="347" spans="5:6" x14ac:dyDescent="0.25">
      <c r="E347">
        <v>-3.2499999999998002</v>
      </c>
      <c r="F347">
        <f t="shared" si="6"/>
        <v>1.81249999999999</v>
      </c>
    </row>
    <row r="348" spans="5:6" x14ac:dyDescent="0.25">
      <c r="E348">
        <v>-3.1999999999997999</v>
      </c>
      <c r="F348">
        <f t="shared" si="6"/>
        <v>1.8099999999999898</v>
      </c>
    </row>
    <row r="349" spans="5:6" x14ac:dyDescent="0.25">
      <c r="E349">
        <v>-3.1499999999998001</v>
      </c>
      <c r="F349">
        <f t="shared" si="6"/>
        <v>1.8074999999999899</v>
      </c>
    </row>
    <row r="350" spans="5:6" x14ac:dyDescent="0.25">
      <c r="E350">
        <v>-3.0999999999997998</v>
      </c>
      <c r="F350">
        <f t="shared" si="6"/>
        <v>1.8049999999999899</v>
      </c>
    </row>
    <row r="351" spans="5:6" x14ac:dyDescent="0.25">
      <c r="E351">
        <v>-3.0499999999998</v>
      </c>
      <c r="F351">
        <f t="shared" si="6"/>
        <v>1.80249999999999</v>
      </c>
    </row>
    <row r="352" spans="5:6" x14ac:dyDescent="0.25">
      <c r="E352">
        <v>-2.9999999999998002</v>
      </c>
      <c r="F352">
        <f t="shared" si="6"/>
        <v>1.7999999999999901</v>
      </c>
    </row>
    <row r="353" spans="5:6" x14ac:dyDescent="0.25">
      <c r="E353">
        <v>-2.9499999999997999</v>
      </c>
      <c r="F353">
        <f t="shared" si="6"/>
        <v>1.7974999999999899</v>
      </c>
    </row>
    <row r="354" spans="5:6" x14ac:dyDescent="0.25">
      <c r="E354">
        <v>-2.8999999999998001</v>
      </c>
      <c r="F354">
        <f t="shared" si="6"/>
        <v>1.7949999999999899</v>
      </c>
    </row>
    <row r="355" spans="5:6" x14ac:dyDescent="0.25">
      <c r="E355">
        <v>-2.8499999999997998</v>
      </c>
      <c r="F355">
        <f t="shared" si="6"/>
        <v>1.79249999999999</v>
      </c>
    </row>
    <row r="356" spans="5:6" x14ac:dyDescent="0.25">
      <c r="E356">
        <v>-2.7999999999998</v>
      </c>
      <c r="F356">
        <f t="shared" si="6"/>
        <v>1.7899999999999898</v>
      </c>
    </row>
    <row r="357" spans="5:6" x14ac:dyDescent="0.25">
      <c r="E357">
        <v>-2.7499999999998002</v>
      </c>
      <c r="F357">
        <f t="shared" si="6"/>
        <v>1.7874999999999899</v>
      </c>
    </row>
    <row r="358" spans="5:6" x14ac:dyDescent="0.25">
      <c r="E358">
        <v>-2.6999999999997999</v>
      </c>
      <c r="F358">
        <f t="shared" si="6"/>
        <v>1.7849999999999899</v>
      </c>
    </row>
    <row r="359" spans="5:6" x14ac:dyDescent="0.25">
      <c r="E359">
        <v>-2.6499999999998001</v>
      </c>
      <c r="F359">
        <f t="shared" si="6"/>
        <v>1.78249999999999</v>
      </c>
    </row>
    <row r="360" spans="5:6" x14ac:dyDescent="0.25">
      <c r="E360">
        <v>-2.5999999999997998</v>
      </c>
      <c r="F360">
        <f t="shared" si="6"/>
        <v>1.7799999999999898</v>
      </c>
    </row>
    <row r="361" spans="5:6" x14ac:dyDescent="0.25">
      <c r="E361">
        <v>-2.5499999999998</v>
      </c>
      <c r="F361">
        <f t="shared" si="6"/>
        <v>1.7774999999999899</v>
      </c>
    </row>
    <row r="362" spans="5:6" x14ac:dyDescent="0.25">
      <c r="E362">
        <v>-2.4999999999998002</v>
      </c>
      <c r="F362">
        <f t="shared" si="6"/>
        <v>1.7749999999999899</v>
      </c>
    </row>
    <row r="363" spans="5:6" x14ac:dyDescent="0.25">
      <c r="E363">
        <v>-2.4499999999997999</v>
      </c>
      <c r="F363">
        <f t="shared" si="6"/>
        <v>1.77249999999999</v>
      </c>
    </row>
    <row r="364" spans="5:6" x14ac:dyDescent="0.25">
      <c r="E364">
        <v>-2.3999999999997002</v>
      </c>
      <c r="F364">
        <f t="shared" si="6"/>
        <v>1.7699999999999849</v>
      </c>
    </row>
    <row r="365" spans="5:6" x14ac:dyDescent="0.25">
      <c r="E365">
        <v>-2.3499999999996999</v>
      </c>
      <c r="F365">
        <f t="shared" si="6"/>
        <v>1.767499999999985</v>
      </c>
    </row>
    <row r="366" spans="5:6" x14ac:dyDescent="0.25">
      <c r="E366">
        <v>-2.2999999999997001</v>
      </c>
      <c r="F366">
        <f t="shared" si="6"/>
        <v>1.764999999999985</v>
      </c>
    </row>
    <row r="367" spans="5:6" x14ac:dyDescent="0.25">
      <c r="E367">
        <v>-2.2499999999996998</v>
      </c>
      <c r="F367">
        <f t="shared" si="6"/>
        <v>1.7624999999999849</v>
      </c>
    </row>
    <row r="368" spans="5:6" x14ac:dyDescent="0.25">
      <c r="E368">
        <v>-2.1999999999997</v>
      </c>
      <c r="F368">
        <f t="shared" si="6"/>
        <v>1.7599999999999849</v>
      </c>
    </row>
    <row r="369" spans="5:6" x14ac:dyDescent="0.25">
      <c r="E369">
        <v>-2.1499999999997002</v>
      </c>
      <c r="F369">
        <f t="shared" si="6"/>
        <v>1.757499999999985</v>
      </c>
    </row>
    <row r="370" spans="5:6" x14ac:dyDescent="0.25">
      <c r="E370">
        <v>-2.0999999999996999</v>
      </c>
      <c r="F370">
        <f t="shared" si="6"/>
        <v>1.7549999999999848</v>
      </c>
    </row>
    <row r="371" spans="5:6" x14ac:dyDescent="0.25">
      <c r="E371">
        <v>-2.0499999999997001</v>
      </c>
      <c r="F371">
        <f t="shared" si="6"/>
        <v>1.7524999999999848</v>
      </c>
    </row>
    <row r="372" spans="5:6" x14ac:dyDescent="0.25">
      <c r="E372">
        <v>-1.9999999999997</v>
      </c>
      <c r="F372">
        <f t="shared" si="6"/>
        <v>1.7499999999999849</v>
      </c>
    </row>
    <row r="373" spans="5:6" x14ac:dyDescent="0.25">
      <c r="E373">
        <v>-1.9499999999997</v>
      </c>
      <c r="F373">
        <f t="shared" si="6"/>
        <v>1.747499999999985</v>
      </c>
    </row>
    <row r="374" spans="5:6" x14ac:dyDescent="0.25">
      <c r="E374">
        <v>-1.8999999999996999</v>
      </c>
      <c r="F374">
        <f t="shared" si="6"/>
        <v>1.744999999999985</v>
      </c>
    </row>
    <row r="375" spans="5:6" x14ac:dyDescent="0.25">
      <c r="E375">
        <v>-1.8499999999997001</v>
      </c>
      <c r="F375">
        <f t="shared" si="6"/>
        <v>1.7424999999999848</v>
      </c>
    </row>
    <row r="376" spans="5:6" x14ac:dyDescent="0.25">
      <c r="E376">
        <v>-1.7999999999997001</v>
      </c>
      <c r="F376">
        <f t="shared" si="6"/>
        <v>1.7399999999999849</v>
      </c>
    </row>
    <row r="377" spans="5:6" x14ac:dyDescent="0.25">
      <c r="E377">
        <v>-1.7499999999997</v>
      </c>
      <c r="F377">
        <f t="shared" si="6"/>
        <v>1.7374999999999849</v>
      </c>
    </row>
    <row r="378" spans="5:6" x14ac:dyDescent="0.25">
      <c r="E378">
        <v>-1.6999999999997</v>
      </c>
      <c r="F378">
        <f t="shared" si="6"/>
        <v>1.734999999999985</v>
      </c>
    </row>
    <row r="379" spans="5:6" x14ac:dyDescent="0.25">
      <c r="E379">
        <v>-1.6499999999996999</v>
      </c>
      <c r="F379">
        <f t="shared" si="6"/>
        <v>1.7324999999999848</v>
      </c>
    </row>
    <row r="380" spans="5:6" x14ac:dyDescent="0.25">
      <c r="E380">
        <v>-1.5999999999997001</v>
      </c>
      <c r="F380">
        <f t="shared" si="6"/>
        <v>1.7299999999999849</v>
      </c>
    </row>
    <row r="381" spans="5:6" x14ac:dyDescent="0.25">
      <c r="E381">
        <v>-1.5499999999997001</v>
      </c>
      <c r="F381">
        <f t="shared" si="6"/>
        <v>1.7274999999999849</v>
      </c>
    </row>
    <row r="382" spans="5:6" x14ac:dyDescent="0.25">
      <c r="E382">
        <v>-1.4999999999997</v>
      </c>
      <c r="F382">
        <f t="shared" si="6"/>
        <v>1.724999999999985</v>
      </c>
    </row>
    <row r="383" spans="5:6" x14ac:dyDescent="0.25">
      <c r="E383">
        <v>-1.4499999999997</v>
      </c>
      <c r="F383">
        <f t="shared" si="6"/>
        <v>1.7224999999999848</v>
      </c>
    </row>
    <row r="384" spans="5:6" x14ac:dyDescent="0.25">
      <c r="E384">
        <v>-1.3999999999996999</v>
      </c>
      <c r="F384">
        <f t="shared" si="6"/>
        <v>1.7199999999999849</v>
      </c>
    </row>
    <row r="385" spans="5:6" x14ac:dyDescent="0.25">
      <c r="E385">
        <v>-1.3499999999997001</v>
      </c>
      <c r="F385">
        <f t="shared" si="6"/>
        <v>1.7174999999999849</v>
      </c>
    </row>
    <row r="386" spans="5:6" x14ac:dyDescent="0.25">
      <c r="E386">
        <v>-1.2999999999997001</v>
      </c>
      <c r="F386">
        <f t="shared" si="6"/>
        <v>1.714999999999985</v>
      </c>
    </row>
    <row r="387" spans="5:6" x14ac:dyDescent="0.25">
      <c r="E387">
        <v>-1.2499999999997</v>
      </c>
      <c r="F387">
        <f t="shared" si="6"/>
        <v>1.7124999999999848</v>
      </c>
    </row>
    <row r="388" spans="5:6" x14ac:dyDescent="0.25">
      <c r="E388">
        <v>-1.1999999999997</v>
      </c>
      <c r="F388">
        <f t="shared" si="6"/>
        <v>1.7099999999999849</v>
      </c>
    </row>
    <row r="389" spans="5:6" x14ac:dyDescent="0.25">
      <c r="E389">
        <v>-1.1499999999996999</v>
      </c>
      <c r="F389">
        <f t="shared" si="6"/>
        <v>1.7074999999999849</v>
      </c>
    </row>
    <row r="390" spans="5:6" x14ac:dyDescent="0.25">
      <c r="E390">
        <v>-1.0999999999997001</v>
      </c>
      <c r="F390">
        <f t="shared" si="6"/>
        <v>1.704999999999985</v>
      </c>
    </row>
    <row r="391" spans="5:6" x14ac:dyDescent="0.25">
      <c r="E391">
        <v>-1.0499999999997001</v>
      </c>
      <c r="F391">
        <f t="shared" si="6"/>
        <v>1.702499999999985</v>
      </c>
    </row>
    <row r="392" spans="5:6" x14ac:dyDescent="0.25">
      <c r="E392">
        <v>-0.99999999999970202</v>
      </c>
      <c r="F392">
        <f t="shared" si="6"/>
        <v>1.6999999999999851</v>
      </c>
    </row>
    <row r="393" spans="5:6" x14ac:dyDescent="0.25">
      <c r="E393">
        <v>-0.94999999999970097</v>
      </c>
      <c r="F393">
        <f t="shared" si="6"/>
        <v>1.6974999999999849</v>
      </c>
    </row>
    <row r="394" spans="5:6" x14ac:dyDescent="0.25">
      <c r="E394">
        <v>-0.89999999999970004</v>
      </c>
      <c r="F394">
        <f t="shared" si="6"/>
        <v>1.694999999999985</v>
      </c>
    </row>
    <row r="395" spans="5:6" x14ac:dyDescent="0.25">
      <c r="E395">
        <v>-0.849999999999699</v>
      </c>
      <c r="F395">
        <f t="shared" si="6"/>
        <v>1.6924999999999848</v>
      </c>
    </row>
    <row r="396" spans="5:6" x14ac:dyDescent="0.25">
      <c r="E396">
        <v>-0.79999999999969895</v>
      </c>
      <c r="F396">
        <f t="shared" si="6"/>
        <v>1.6899999999999848</v>
      </c>
    </row>
    <row r="397" spans="5:6" x14ac:dyDescent="0.25">
      <c r="E397">
        <v>-0.74999999999970202</v>
      </c>
      <c r="F397">
        <f t="shared" ref="F397:F460" si="7">-(E397*$B$16*$B$13-3.3/2)</f>
        <v>1.6874999999999849</v>
      </c>
    </row>
    <row r="398" spans="5:6" x14ac:dyDescent="0.25">
      <c r="E398">
        <v>-0.69999999999970097</v>
      </c>
      <c r="F398">
        <f t="shared" si="7"/>
        <v>1.684999999999985</v>
      </c>
    </row>
    <row r="399" spans="5:6" x14ac:dyDescent="0.25">
      <c r="E399">
        <v>-0.64999999999970004</v>
      </c>
      <c r="F399">
        <f t="shared" si="7"/>
        <v>1.682499999999985</v>
      </c>
    </row>
    <row r="400" spans="5:6" x14ac:dyDescent="0.25">
      <c r="E400">
        <v>-0.599999999999699</v>
      </c>
      <c r="F400">
        <f t="shared" si="7"/>
        <v>1.6799999999999848</v>
      </c>
    </row>
    <row r="401" spans="5:6" x14ac:dyDescent="0.25">
      <c r="E401">
        <v>-0.54999999999969895</v>
      </c>
      <c r="F401">
        <f t="shared" si="7"/>
        <v>1.6774999999999849</v>
      </c>
    </row>
    <row r="402" spans="5:6" x14ac:dyDescent="0.25">
      <c r="E402">
        <v>-0.49999999999970202</v>
      </c>
      <c r="F402">
        <f t="shared" si="7"/>
        <v>1.6749999999999849</v>
      </c>
    </row>
    <row r="403" spans="5:6" x14ac:dyDescent="0.25">
      <c r="E403">
        <v>-0.44999999999970097</v>
      </c>
      <c r="F403">
        <f t="shared" si="7"/>
        <v>1.672499999999985</v>
      </c>
    </row>
    <row r="404" spans="5:6" x14ac:dyDescent="0.25">
      <c r="E404">
        <v>-0.39999999999969998</v>
      </c>
      <c r="F404">
        <f t="shared" si="7"/>
        <v>1.6699999999999848</v>
      </c>
    </row>
    <row r="405" spans="5:6" x14ac:dyDescent="0.25">
      <c r="E405">
        <v>-0.349999999999699</v>
      </c>
      <c r="F405">
        <f t="shared" si="7"/>
        <v>1.6674999999999849</v>
      </c>
    </row>
    <row r="406" spans="5:6" x14ac:dyDescent="0.25">
      <c r="E406">
        <v>-0.29999999999969901</v>
      </c>
      <c r="F406">
        <f t="shared" si="7"/>
        <v>1.6649999999999849</v>
      </c>
    </row>
    <row r="407" spans="5:6" x14ac:dyDescent="0.25">
      <c r="E407">
        <v>-0.24999999999970199</v>
      </c>
      <c r="F407">
        <f t="shared" si="7"/>
        <v>1.662499999999985</v>
      </c>
    </row>
    <row r="408" spans="5:6" x14ac:dyDescent="0.25">
      <c r="E408">
        <v>-0.199999999999701</v>
      </c>
      <c r="F408">
        <f t="shared" si="7"/>
        <v>1.659999999999985</v>
      </c>
    </row>
    <row r="409" spans="5:6" x14ac:dyDescent="0.25">
      <c r="E409">
        <v>-0.14999999999970001</v>
      </c>
      <c r="F409">
        <f t="shared" si="7"/>
        <v>1.6574999999999849</v>
      </c>
    </row>
    <row r="410" spans="5:6" x14ac:dyDescent="0.25">
      <c r="E410">
        <v>-9.9999999999699399E-2</v>
      </c>
      <c r="F410">
        <f t="shared" si="7"/>
        <v>1.6549999999999849</v>
      </c>
    </row>
    <row r="411" spans="5:6" x14ac:dyDescent="0.25">
      <c r="E411">
        <v>-4.9999999999698702E-2</v>
      </c>
      <c r="F411">
        <f t="shared" si="7"/>
        <v>1.6524999999999848</v>
      </c>
    </row>
    <row r="412" spans="5:6" x14ac:dyDescent="0.25">
      <c r="E412">
        <v>2.9842794901924198E-13</v>
      </c>
      <c r="F412">
        <f t="shared" si="7"/>
        <v>1.649999999999985</v>
      </c>
    </row>
    <row r="413" spans="5:6" x14ac:dyDescent="0.25">
      <c r="E413">
        <v>5.0000000000299097E-2</v>
      </c>
      <c r="F413">
        <f t="shared" si="7"/>
        <v>1.6474999999999849</v>
      </c>
    </row>
    <row r="414" spans="5:6" x14ac:dyDescent="0.25">
      <c r="E414">
        <v>0.1000000000003</v>
      </c>
      <c r="F414">
        <f t="shared" si="7"/>
        <v>1.6449999999999849</v>
      </c>
    </row>
    <row r="415" spans="5:6" x14ac:dyDescent="0.25">
      <c r="E415">
        <v>0.150000000000301</v>
      </c>
      <c r="F415">
        <f t="shared" si="7"/>
        <v>1.642499999999985</v>
      </c>
    </row>
    <row r="416" spans="5:6" x14ac:dyDescent="0.25">
      <c r="E416">
        <v>0.20000000000030099</v>
      </c>
      <c r="F416">
        <f t="shared" si="7"/>
        <v>1.6399999999999848</v>
      </c>
    </row>
    <row r="417" spans="5:6" x14ac:dyDescent="0.25">
      <c r="E417">
        <v>0.25000000000029798</v>
      </c>
      <c r="F417">
        <f t="shared" si="7"/>
        <v>1.6374999999999851</v>
      </c>
    </row>
    <row r="418" spans="5:6" x14ac:dyDescent="0.25">
      <c r="E418">
        <v>0.30000000000029903</v>
      </c>
      <c r="F418">
        <f t="shared" si="7"/>
        <v>1.6349999999999849</v>
      </c>
    </row>
    <row r="419" spans="5:6" x14ac:dyDescent="0.25">
      <c r="E419">
        <v>0.35000000000030002</v>
      </c>
      <c r="F419">
        <f t="shared" si="7"/>
        <v>1.632499999999985</v>
      </c>
    </row>
    <row r="420" spans="5:6" x14ac:dyDescent="0.25">
      <c r="E420">
        <v>0.400000000000301</v>
      </c>
      <c r="F420">
        <f t="shared" si="7"/>
        <v>1.6299999999999848</v>
      </c>
    </row>
    <row r="421" spans="5:6" x14ac:dyDescent="0.25">
      <c r="E421">
        <v>0.45000000000030099</v>
      </c>
      <c r="F421">
        <f t="shared" si="7"/>
        <v>1.6274999999999848</v>
      </c>
    </row>
    <row r="422" spans="5:6" x14ac:dyDescent="0.25">
      <c r="E422">
        <v>0.50000000000029798</v>
      </c>
      <c r="F422">
        <f t="shared" si="7"/>
        <v>1.6249999999999849</v>
      </c>
    </row>
    <row r="423" spans="5:6" x14ac:dyDescent="0.25">
      <c r="E423">
        <v>0.55000000000029903</v>
      </c>
      <c r="F423">
        <f t="shared" si="7"/>
        <v>1.622499999999985</v>
      </c>
    </row>
    <row r="424" spans="5:6" x14ac:dyDescent="0.25">
      <c r="E424">
        <v>0.60000000000029996</v>
      </c>
      <c r="F424">
        <f t="shared" si="7"/>
        <v>1.619999999999985</v>
      </c>
    </row>
    <row r="425" spans="5:6" x14ac:dyDescent="0.25">
      <c r="E425">
        <v>0.650000000000301</v>
      </c>
      <c r="F425">
        <f t="shared" si="7"/>
        <v>1.6174999999999848</v>
      </c>
    </row>
    <row r="426" spans="5:6" x14ac:dyDescent="0.25">
      <c r="E426">
        <v>0.70000000000030105</v>
      </c>
      <c r="F426">
        <f t="shared" si="7"/>
        <v>1.6149999999999849</v>
      </c>
    </row>
    <row r="427" spans="5:6" x14ac:dyDescent="0.25">
      <c r="E427">
        <v>0.75000000000029798</v>
      </c>
      <c r="F427">
        <f t="shared" si="7"/>
        <v>1.6124999999999849</v>
      </c>
    </row>
    <row r="428" spans="5:6" x14ac:dyDescent="0.25">
      <c r="E428">
        <v>0.80000000000029903</v>
      </c>
      <c r="F428">
        <f t="shared" si="7"/>
        <v>1.609999999999985</v>
      </c>
    </row>
    <row r="429" spans="5:6" x14ac:dyDescent="0.25">
      <c r="E429">
        <v>0.85000000000029996</v>
      </c>
      <c r="F429">
        <f t="shared" si="7"/>
        <v>1.6074999999999848</v>
      </c>
    </row>
    <row r="430" spans="5:6" x14ac:dyDescent="0.25">
      <c r="E430">
        <v>0.900000000000301</v>
      </c>
      <c r="F430">
        <f t="shared" si="7"/>
        <v>1.6049999999999849</v>
      </c>
    </row>
    <row r="431" spans="5:6" x14ac:dyDescent="0.25">
      <c r="E431">
        <v>0.95000000000030105</v>
      </c>
      <c r="F431">
        <f t="shared" si="7"/>
        <v>1.6024999999999849</v>
      </c>
    </row>
    <row r="432" spans="5:6" x14ac:dyDescent="0.25">
      <c r="E432">
        <v>1.0000000000003</v>
      </c>
      <c r="F432">
        <f t="shared" si="7"/>
        <v>1.599999999999985</v>
      </c>
    </row>
    <row r="433" spans="5:6" x14ac:dyDescent="0.25">
      <c r="E433">
        <v>1.0500000000003</v>
      </c>
      <c r="F433">
        <f t="shared" si="7"/>
        <v>1.5974999999999848</v>
      </c>
    </row>
    <row r="434" spans="5:6" x14ac:dyDescent="0.25">
      <c r="E434">
        <v>1.1000000000003001</v>
      </c>
      <c r="F434">
        <f t="shared" si="7"/>
        <v>1.5949999999999849</v>
      </c>
    </row>
    <row r="435" spans="5:6" x14ac:dyDescent="0.25">
      <c r="E435">
        <v>1.1500000000002999</v>
      </c>
      <c r="F435">
        <f t="shared" si="7"/>
        <v>1.5924999999999849</v>
      </c>
    </row>
    <row r="436" spans="5:6" x14ac:dyDescent="0.25">
      <c r="E436">
        <v>1.2000000000002999</v>
      </c>
      <c r="F436">
        <f t="shared" si="7"/>
        <v>1.589999999999985</v>
      </c>
    </row>
    <row r="437" spans="5:6" x14ac:dyDescent="0.25">
      <c r="E437">
        <v>1.2500000000003</v>
      </c>
      <c r="F437">
        <f t="shared" si="7"/>
        <v>1.5874999999999848</v>
      </c>
    </row>
    <row r="438" spans="5:6" x14ac:dyDescent="0.25">
      <c r="E438">
        <v>1.3000000000003</v>
      </c>
      <c r="F438">
        <f t="shared" si="7"/>
        <v>1.5849999999999849</v>
      </c>
    </row>
    <row r="439" spans="5:6" x14ac:dyDescent="0.25">
      <c r="E439">
        <v>1.3500000000003001</v>
      </c>
      <c r="F439">
        <f t="shared" si="7"/>
        <v>1.5824999999999849</v>
      </c>
    </row>
    <row r="440" spans="5:6" x14ac:dyDescent="0.25">
      <c r="E440">
        <v>1.4000000000002999</v>
      </c>
      <c r="F440">
        <f t="shared" si="7"/>
        <v>1.579999999999985</v>
      </c>
    </row>
    <row r="441" spans="5:6" x14ac:dyDescent="0.25">
      <c r="E441">
        <v>1.4500000000002999</v>
      </c>
      <c r="F441">
        <f t="shared" si="7"/>
        <v>1.577499999999985</v>
      </c>
    </row>
    <row r="442" spans="5:6" x14ac:dyDescent="0.25">
      <c r="E442">
        <v>1.5000000000003</v>
      </c>
      <c r="F442">
        <f t="shared" si="7"/>
        <v>1.5749999999999849</v>
      </c>
    </row>
    <row r="443" spans="5:6" x14ac:dyDescent="0.25">
      <c r="E443">
        <v>1.5500000000003</v>
      </c>
      <c r="F443">
        <f t="shared" si="7"/>
        <v>1.5724999999999849</v>
      </c>
    </row>
    <row r="444" spans="5:6" x14ac:dyDescent="0.25">
      <c r="E444">
        <v>1.6000000000003001</v>
      </c>
      <c r="F444">
        <f t="shared" si="7"/>
        <v>1.569999999999985</v>
      </c>
    </row>
    <row r="445" spans="5:6" x14ac:dyDescent="0.25">
      <c r="E445">
        <v>1.6500000000002999</v>
      </c>
      <c r="F445">
        <f t="shared" si="7"/>
        <v>1.567499999999985</v>
      </c>
    </row>
    <row r="446" spans="5:6" x14ac:dyDescent="0.25">
      <c r="E446">
        <v>1.7000000000002999</v>
      </c>
      <c r="F446">
        <f t="shared" si="7"/>
        <v>1.5649999999999848</v>
      </c>
    </row>
    <row r="447" spans="5:6" x14ac:dyDescent="0.25">
      <c r="E447">
        <v>1.7500000000003</v>
      </c>
      <c r="F447">
        <f t="shared" si="7"/>
        <v>1.5624999999999849</v>
      </c>
    </row>
    <row r="448" spans="5:6" x14ac:dyDescent="0.25">
      <c r="E448">
        <v>1.8000000000003</v>
      </c>
      <c r="F448">
        <f t="shared" si="7"/>
        <v>1.559999999999985</v>
      </c>
    </row>
    <row r="449" spans="5:6" x14ac:dyDescent="0.25">
      <c r="E449">
        <v>1.8500000000003001</v>
      </c>
      <c r="F449">
        <f t="shared" si="7"/>
        <v>1.557499999999985</v>
      </c>
    </row>
    <row r="450" spans="5:6" x14ac:dyDescent="0.25">
      <c r="E450">
        <v>1.9000000000002999</v>
      </c>
      <c r="F450">
        <f t="shared" si="7"/>
        <v>1.5549999999999848</v>
      </c>
    </row>
    <row r="451" spans="5:6" x14ac:dyDescent="0.25">
      <c r="E451">
        <v>1.9500000000002999</v>
      </c>
      <c r="F451">
        <f t="shared" si="7"/>
        <v>1.5524999999999849</v>
      </c>
    </row>
    <row r="452" spans="5:6" x14ac:dyDescent="0.25">
      <c r="E452">
        <v>2.0000000000003002</v>
      </c>
      <c r="F452">
        <f t="shared" si="7"/>
        <v>1.5499999999999849</v>
      </c>
    </row>
    <row r="453" spans="5:6" x14ac:dyDescent="0.25">
      <c r="E453">
        <v>2.0500000000003</v>
      </c>
      <c r="F453">
        <f t="shared" si="7"/>
        <v>1.547499999999985</v>
      </c>
    </row>
    <row r="454" spans="5:6" x14ac:dyDescent="0.25">
      <c r="E454">
        <v>2.1000000000002998</v>
      </c>
      <c r="F454">
        <f t="shared" si="7"/>
        <v>1.5449999999999848</v>
      </c>
    </row>
    <row r="455" spans="5:6" x14ac:dyDescent="0.25">
      <c r="E455">
        <v>2.1500000000003001</v>
      </c>
      <c r="F455">
        <f t="shared" si="7"/>
        <v>1.5424999999999849</v>
      </c>
    </row>
    <row r="456" spans="5:6" x14ac:dyDescent="0.25">
      <c r="E456">
        <v>2.2000000000002999</v>
      </c>
      <c r="F456">
        <f t="shared" si="7"/>
        <v>1.5399999999999849</v>
      </c>
    </row>
    <row r="457" spans="5:6" x14ac:dyDescent="0.25">
      <c r="E457">
        <v>2.2500000000003002</v>
      </c>
      <c r="F457">
        <f t="shared" si="7"/>
        <v>1.537499999999985</v>
      </c>
    </row>
    <row r="458" spans="5:6" x14ac:dyDescent="0.25">
      <c r="E458">
        <v>2.3000000000003</v>
      </c>
      <c r="F458">
        <f t="shared" si="7"/>
        <v>1.5349999999999848</v>
      </c>
    </row>
    <row r="459" spans="5:6" x14ac:dyDescent="0.25">
      <c r="E459">
        <v>2.3500000000002998</v>
      </c>
      <c r="F459">
        <f t="shared" si="7"/>
        <v>1.5324999999999849</v>
      </c>
    </row>
    <row r="460" spans="5:6" x14ac:dyDescent="0.25">
      <c r="E460">
        <v>2.4000000000003001</v>
      </c>
      <c r="F460">
        <f t="shared" si="7"/>
        <v>1.5299999999999849</v>
      </c>
    </row>
    <row r="461" spans="5:6" x14ac:dyDescent="0.25">
      <c r="E461">
        <v>2.4500000000002999</v>
      </c>
      <c r="F461">
        <f t="shared" ref="F461:F524" si="8">-(E461*$B$16*$B$13-3.3/2)</f>
        <v>1.527499999999985</v>
      </c>
    </row>
    <row r="462" spans="5:6" x14ac:dyDescent="0.25">
      <c r="E462">
        <v>2.5000000000003002</v>
      </c>
      <c r="F462">
        <f t="shared" si="8"/>
        <v>1.5249999999999848</v>
      </c>
    </row>
    <row r="463" spans="5:6" x14ac:dyDescent="0.25">
      <c r="E463">
        <v>2.5500000000003</v>
      </c>
      <c r="F463">
        <f t="shared" si="8"/>
        <v>1.5224999999999849</v>
      </c>
    </row>
    <row r="464" spans="5:6" x14ac:dyDescent="0.25">
      <c r="E464">
        <v>2.6000000000002998</v>
      </c>
      <c r="F464">
        <f t="shared" si="8"/>
        <v>1.5199999999999849</v>
      </c>
    </row>
    <row r="465" spans="5:6" x14ac:dyDescent="0.25">
      <c r="E465">
        <v>2.6500000000003001</v>
      </c>
      <c r="F465">
        <f t="shared" si="8"/>
        <v>1.517499999999985</v>
      </c>
    </row>
    <row r="466" spans="5:6" x14ac:dyDescent="0.25">
      <c r="E466">
        <v>2.7000000000002999</v>
      </c>
      <c r="F466">
        <f t="shared" si="8"/>
        <v>1.514999999999985</v>
      </c>
    </row>
    <row r="467" spans="5:6" x14ac:dyDescent="0.25">
      <c r="E467">
        <v>2.7500000000003002</v>
      </c>
      <c r="F467">
        <f t="shared" si="8"/>
        <v>1.5124999999999849</v>
      </c>
    </row>
    <row r="468" spans="5:6" x14ac:dyDescent="0.25">
      <c r="E468">
        <v>2.8000000000003</v>
      </c>
      <c r="F468">
        <f t="shared" si="8"/>
        <v>1.5099999999999849</v>
      </c>
    </row>
    <row r="469" spans="5:6" x14ac:dyDescent="0.25">
      <c r="E469">
        <v>2.8500000000002998</v>
      </c>
      <c r="F469">
        <f t="shared" si="8"/>
        <v>1.507499999999985</v>
      </c>
    </row>
    <row r="470" spans="5:6" x14ac:dyDescent="0.25">
      <c r="E470">
        <v>2.9000000000003001</v>
      </c>
      <c r="F470">
        <f t="shared" si="8"/>
        <v>1.5049999999999848</v>
      </c>
    </row>
    <row r="471" spans="5:6" x14ac:dyDescent="0.25">
      <c r="E471">
        <v>2.9500000000002999</v>
      </c>
      <c r="F471">
        <f t="shared" si="8"/>
        <v>1.5024999999999848</v>
      </c>
    </row>
    <row r="472" spans="5:6" x14ac:dyDescent="0.25">
      <c r="E472">
        <v>3.0000000000003002</v>
      </c>
      <c r="F472">
        <f t="shared" si="8"/>
        <v>1.4999999999999849</v>
      </c>
    </row>
    <row r="473" spans="5:6" x14ac:dyDescent="0.25">
      <c r="E473">
        <v>3.0500000000003</v>
      </c>
      <c r="F473">
        <f t="shared" si="8"/>
        <v>1.497499999999985</v>
      </c>
    </row>
    <row r="474" spans="5:6" x14ac:dyDescent="0.25">
      <c r="E474">
        <v>3.1000000000002998</v>
      </c>
      <c r="F474">
        <f t="shared" si="8"/>
        <v>1.494999999999985</v>
      </c>
    </row>
    <row r="475" spans="5:6" x14ac:dyDescent="0.25">
      <c r="E475">
        <v>3.1500000000003001</v>
      </c>
      <c r="F475">
        <f t="shared" si="8"/>
        <v>1.4924999999999848</v>
      </c>
    </row>
    <row r="476" spans="5:6" x14ac:dyDescent="0.25">
      <c r="E476">
        <v>3.2000000000002999</v>
      </c>
      <c r="F476">
        <f t="shared" si="8"/>
        <v>1.4899999999999849</v>
      </c>
    </row>
    <row r="477" spans="5:6" x14ac:dyDescent="0.25">
      <c r="E477">
        <v>3.2500000000003002</v>
      </c>
      <c r="F477">
        <f t="shared" si="8"/>
        <v>1.4874999999999849</v>
      </c>
    </row>
    <row r="478" spans="5:6" x14ac:dyDescent="0.25">
      <c r="E478">
        <v>3.3000000000003</v>
      </c>
      <c r="F478">
        <f t="shared" si="8"/>
        <v>1.484999999999985</v>
      </c>
    </row>
    <row r="479" spans="5:6" x14ac:dyDescent="0.25">
      <c r="E479">
        <v>3.3500000000002998</v>
      </c>
      <c r="F479">
        <f t="shared" si="8"/>
        <v>1.4824999999999848</v>
      </c>
    </row>
    <row r="480" spans="5:6" x14ac:dyDescent="0.25">
      <c r="E480">
        <v>3.4000000000003001</v>
      </c>
      <c r="F480">
        <f t="shared" si="8"/>
        <v>1.4799999999999849</v>
      </c>
    </row>
    <row r="481" spans="5:6" x14ac:dyDescent="0.25">
      <c r="E481">
        <v>3.4500000000002999</v>
      </c>
      <c r="F481">
        <f t="shared" si="8"/>
        <v>1.4774999999999849</v>
      </c>
    </row>
    <row r="482" spans="5:6" x14ac:dyDescent="0.25">
      <c r="E482">
        <v>3.5000000000003002</v>
      </c>
      <c r="F482">
        <f t="shared" si="8"/>
        <v>1.474999999999985</v>
      </c>
    </row>
    <row r="483" spans="5:6" x14ac:dyDescent="0.25">
      <c r="E483">
        <v>3.5500000000003</v>
      </c>
      <c r="F483">
        <f t="shared" si="8"/>
        <v>1.4724999999999848</v>
      </c>
    </row>
    <row r="484" spans="5:6" x14ac:dyDescent="0.25">
      <c r="E484">
        <v>3.6000000000002998</v>
      </c>
      <c r="F484">
        <f t="shared" si="8"/>
        <v>1.4699999999999849</v>
      </c>
    </row>
    <row r="485" spans="5:6" x14ac:dyDescent="0.25">
      <c r="E485">
        <v>3.6500000000003001</v>
      </c>
      <c r="F485">
        <f t="shared" si="8"/>
        <v>1.4674999999999849</v>
      </c>
    </row>
    <row r="486" spans="5:6" x14ac:dyDescent="0.25">
      <c r="E486">
        <v>3.7000000000002999</v>
      </c>
      <c r="F486">
        <f t="shared" si="8"/>
        <v>1.464999999999985</v>
      </c>
    </row>
    <row r="487" spans="5:6" x14ac:dyDescent="0.25">
      <c r="E487">
        <v>3.7500000000003002</v>
      </c>
      <c r="F487">
        <f t="shared" si="8"/>
        <v>1.4624999999999848</v>
      </c>
    </row>
    <row r="488" spans="5:6" x14ac:dyDescent="0.25">
      <c r="E488">
        <v>3.8000000000003</v>
      </c>
      <c r="F488">
        <f t="shared" si="8"/>
        <v>1.4599999999999849</v>
      </c>
    </row>
    <row r="489" spans="5:6" x14ac:dyDescent="0.25">
      <c r="E489">
        <v>3.8500000000002998</v>
      </c>
      <c r="F489">
        <f t="shared" si="8"/>
        <v>1.4574999999999849</v>
      </c>
    </row>
    <row r="490" spans="5:6" x14ac:dyDescent="0.25">
      <c r="E490">
        <v>3.9000000000003001</v>
      </c>
      <c r="F490">
        <f t="shared" si="8"/>
        <v>1.454999999999985</v>
      </c>
    </row>
    <row r="491" spans="5:6" x14ac:dyDescent="0.25">
      <c r="E491">
        <v>3.9500000000002999</v>
      </c>
      <c r="F491">
        <f t="shared" si="8"/>
        <v>1.452499999999985</v>
      </c>
    </row>
    <row r="492" spans="5:6" x14ac:dyDescent="0.25">
      <c r="E492">
        <v>4.0000000000003002</v>
      </c>
      <c r="F492">
        <f t="shared" si="8"/>
        <v>1.4499999999999849</v>
      </c>
    </row>
    <row r="493" spans="5:6" x14ac:dyDescent="0.25">
      <c r="E493">
        <v>4.0500000000003</v>
      </c>
      <c r="F493">
        <f t="shared" si="8"/>
        <v>1.4474999999999849</v>
      </c>
    </row>
    <row r="494" spans="5:6" x14ac:dyDescent="0.25">
      <c r="E494">
        <v>4.1000000000002998</v>
      </c>
      <c r="F494">
        <f t="shared" si="8"/>
        <v>1.444999999999985</v>
      </c>
    </row>
    <row r="495" spans="5:6" x14ac:dyDescent="0.25">
      <c r="E495">
        <v>4.1500000000002997</v>
      </c>
      <c r="F495">
        <f t="shared" si="8"/>
        <v>1.4424999999999848</v>
      </c>
    </row>
    <row r="496" spans="5:6" x14ac:dyDescent="0.25">
      <c r="E496">
        <v>4.2000000000003004</v>
      </c>
      <c r="F496">
        <f t="shared" si="8"/>
        <v>1.4399999999999848</v>
      </c>
    </row>
    <row r="497" spans="5:6" x14ac:dyDescent="0.25">
      <c r="E497">
        <v>4.2500000000003002</v>
      </c>
      <c r="F497">
        <f t="shared" si="8"/>
        <v>1.4374999999999849</v>
      </c>
    </row>
    <row r="498" spans="5:6" x14ac:dyDescent="0.25">
      <c r="E498">
        <v>4.3000000000003</v>
      </c>
      <c r="F498">
        <f t="shared" si="8"/>
        <v>1.434999999999985</v>
      </c>
    </row>
    <row r="499" spans="5:6" x14ac:dyDescent="0.25">
      <c r="E499">
        <v>4.3500000000002998</v>
      </c>
      <c r="F499">
        <f t="shared" si="8"/>
        <v>1.432499999999985</v>
      </c>
    </row>
    <row r="500" spans="5:6" x14ac:dyDescent="0.25">
      <c r="E500">
        <v>4.4000000000002997</v>
      </c>
      <c r="F500">
        <f t="shared" si="8"/>
        <v>1.4299999999999848</v>
      </c>
    </row>
    <row r="501" spans="5:6" x14ac:dyDescent="0.25">
      <c r="E501">
        <v>4.4500000000003004</v>
      </c>
      <c r="F501">
        <f t="shared" si="8"/>
        <v>1.4274999999999849</v>
      </c>
    </row>
    <row r="502" spans="5:6" x14ac:dyDescent="0.25">
      <c r="E502">
        <v>4.5000000000003002</v>
      </c>
      <c r="F502">
        <f t="shared" si="8"/>
        <v>1.4249999999999849</v>
      </c>
    </row>
    <row r="503" spans="5:6" x14ac:dyDescent="0.25">
      <c r="E503">
        <v>4.5500000000003</v>
      </c>
      <c r="F503">
        <f t="shared" si="8"/>
        <v>1.422499999999985</v>
      </c>
    </row>
    <row r="504" spans="5:6" x14ac:dyDescent="0.25">
      <c r="E504">
        <v>4.6000000000002998</v>
      </c>
      <c r="F504">
        <f t="shared" si="8"/>
        <v>1.4199999999999848</v>
      </c>
    </row>
    <row r="505" spans="5:6" x14ac:dyDescent="0.25">
      <c r="E505">
        <v>4.6500000000004</v>
      </c>
      <c r="F505">
        <f t="shared" si="8"/>
        <v>1.41749999999998</v>
      </c>
    </row>
    <row r="506" spans="5:6" x14ac:dyDescent="0.25">
      <c r="E506">
        <v>4.7000000000003999</v>
      </c>
      <c r="F506">
        <f t="shared" si="8"/>
        <v>1.4149999999999798</v>
      </c>
    </row>
    <row r="507" spans="5:6" x14ac:dyDescent="0.25">
      <c r="E507">
        <v>4.7500000000003997</v>
      </c>
      <c r="F507">
        <f t="shared" si="8"/>
        <v>1.4124999999999799</v>
      </c>
    </row>
    <row r="508" spans="5:6" x14ac:dyDescent="0.25">
      <c r="E508">
        <v>4.8000000000004004</v>
      </c>
      <c r="F508">
        <f t="shared" si="8"/>
        <v>1.4099999999999799</v>
      </c>
    </row>
    <row r="509" spans="5:6" x14ac:dyDescent="0.25">
      <c r="E509">
        <v>4.8500000000004002</v>
      </c>
      <c r="F509">
        <f t="shared" si="8"/>
        <v>1.40749999999998</v>
      </c>
    </row>
    <row r="510" spans="5:6" x14ac:dyDescent="0.25">
      <c r="E510">
        <v>4.9000000000004</v>
      </c>
      <c r="F510">
        <f t="shared" si="8"/>
        <v>1.4049999999999798</v>
      </c>
    </row>
    <row r="511" spans="5:6" x14ac:dyDescent="0.25">
      <c r="E511">
        <v>4.9500000000003999</v>
      </c>
      <c r="F511">
        <f t="shared" si="8"/>
        <v>1.4024999999999799</v>
      </c>
    </row>
    <row r="512" spans="5:6" x14ac:dyDescent="0.25">
      <c r="E512">
        <v>5.0000000000003997</v>
      </c>
      <c r="F512">
        <f t="shared" si="8"/>
        <v>1.3999999999999799</v>
      </c>
    </row>
    <row r="513" spans="5:6" x14ac:dyDescent="0.25">
      <c r="E513">
        <v>5.0500000000004004</v>
      </c>
      <c r="F513">
        <f t="shared" si="8"/>
        <v>1.39749999999998</v>
      </c>
    </row>
    <row r="514" spans="5:6" x14ac:dyDescent="0.25">
      <c r="E514">
        <v>5.1000000000004002</v>
      </c>
      <c r="F514">
        <f t="shared" si="8"/>
        <v>1.39499999999998</v>
      </c>
    </row>
    <row r="515" spans="5:6" x14ac:dyDescent="0.25">
      <c r="E515">
        <v>5.1500000000004</v>
      </c>
      <c r="F515">
        <f t="shared" si="8"/>
        <v>1.3924999999999799</v>
      </c>
    </row>
    <row r="516" spans="5:6" x14ac:dyDescent="0.25">
      <c r="E516">
        <v>5.2000000000003999</v>
      </c>
      <c r="F516">
        <f t="shared" si="8"/>
        <v>1.3899999999999799</v>
      </c>
    </row>
    <row r="517" spans="5:6" x14ac:dyDescent="0.25">
      <c r="E517">
        <v>5.2500000000003997</v>
      </c>
      <c r="F517">
        <f t="shared" si="8"/>
        <v>1.38749999999998</v>
      </c>
    </row>
    <row r="518" spans="5:6" x14ac:dyDescent="0.25">
      <c r="E518">
        <v>5.3000000000004004</v>
      </c>
      <c r="F518">
        <f t="shared" si="8"/>
        <v>1.3849999999999798</v>
      </c>
    </row>
    <row r="519" spans="5:6" x14ac:dyDescent="0.25">
      <c r="E519">
        <v>5.3500000000004002</v>
      </c>
      <c r="F519">
        <f t="shared" si="8"/>
        <v>1.3824999999999799</v>
      </c>
    </row>
    <row r="520" spans="5:6" x14ac:dyDescent="0.25">
      <c r="E520">
        <v>5.4000000000004</v>
      </c>
      <c r="F520">
        <f t="shared" si="8"/>
        <v>1.3799999999999799</v>
      </c>
    </row>
    <row r="521" spans="5:6" x14ac:dyDescent="0.25">
      <c r="E521">
        <v>5.4500000000003999</v>
      </c>
      <c r="F521">
        <f t="shared" si="8"/>
        <v>1.37749999999998</v>
      </c>
    </row>
    <row r="522" spans="5:6" x14ac:dyDescent="0.25">
      <c r="E522">
        <v>5.5000000000003997</v>
      </c>
      <c r="F522">
        <f t="shared" si="8"/>
        <v>1.37499999999998</v>
      </c>
    </row>
    <row r="523" spans="5:6" x14ac:dyDescent="0.25">
      <c r="E523">
        <v>5.5500000000004004</v>
      </c>
      <c r="F523">
        <f t="shared" si="8"/>
        <v>1.3724999999999798</v>
      </c>
    </row>
    <row r="524" spans="5:6" x14ac:dyDescent="0.25">
      <c r="E524">
        <v>5.6000000000004002</v>
      </c>
      <c r="F524">
        <f t="shared" si="8"/>
        <v>1.3699999999999799</v>
      </c>
    </row>
    <row r="525" spans="5:6" x14ac:dyDescent="0.25">
      <c r="E525">
        <v>5.6500000000004</v>
      </c>
      <c r="F525">
        <f t="shared" ref="F525:F588" si="9">-(E525*$B$16*$B$13-3.3/2)</f>
        <v>1.36749999999998</v>
      </c>
    </row>
    <row r="526" spans="5:6" x14ac:dyDescent="0.25">
      <c r="E526">
        <v>5.7000000000003999</v>
      </c>
      <c r="F526">
        <f t="shared" si="9"/>
        <v>1.3649999999999798</v>
      </c>
    </row>
    <row r="527" spans="5:6" x14ac:dyDescent="0.25">
      <c r="E527">
        <v>5.7500000000003997</v>
      </c>
      <c r="F527">
        <f t="shared" si="9"/>
        <v>1.3624999999999798</v>
      </c>
    </row>
    <row r="528" spans="5:6" x14ac:dyDescent="0.25">
      <c r="E528">
        <v>5.8000000000004004</v>
      </c>
      <c r="F528">
        <f t="shared" si="9"/>
        <v>1.3599999999999799</v>
      </c>
    </row>
    <row r="529" spans="5:6" x14ac:dyDescent="0.25">
      <c r="E529">
        <v>5.8500000000004002</v>
      </c>
      <c r="F529">
        <f t="shared" si="9"/>
        <v>1.3574999999999799</v>
      </c>
    </row>
    <row r="530" spans="5:6" x14ac:dyDescent="0.25">
      <c r="E530">
        <v>5.9000000000004</v>
      </c>
      <c r="F530">
        <f t="shared" si="9"/>
        <v>1.35499999999998</v>
      </c>
    </row>
    <row r="531" spans="5:6" x14ac:dyDescent="0.25">
      <c r="E531">
        <v>5.9500000000003999</v>
      </c>
      <c r="F531">
        <f t="shared" si="9"/>
        <v>1.3524999999999798</v>
      </c>
    </row>
    <row r="532" spans="5:6" x14ac:dyDescent="0.25">
      <c r="E532">
        <v>6.0000000000003997</v>
      </c>
      <c r="F532">
        <f t="shared" si="9"/>
        <v>1.3499999999999799</v>
      </c>
    </row>
    <row r="533" spans="5:6" x14ac:dyDescent="0.25">
      <c r="E533">
        <v>6.0500000000004004</v>
      </c>
      <c r="F533">
        <f t="shared" si="9"/>
        <v>1.3474999999999799</v>
      </c>
    </row>
    <row r="534" spans="5:6" x14ac:dyDescent="0.25">
      <c r="E534">
        <v>6.1000000000004002</v>
      </c>
      <c r="F534">
        <f t="shared" si="9"/>
        <v>1.3449999999999798</v>
      </c>
    </row>
    <row r="535" spans="5:6" x14ac:dyDescent="0.25">
      <c r="E535">
        <v>6.1500000000004</v>
      </c>
      <c r="F535">
        <f t="shared" si="9"/>
        <v>1.3424999999999798</v>
      </c>
    </row>
    <row r="536" spans="5:6" x14ac:dyDescent="0.25">
      <c r="E536">
        <v>6.2000000000003999</v>
      </c>
      <c r="F536">
        <f t="shared" si="9"/>
        <v>1.3399999999999799</v>
      </c>
    </row>
    <row r="537" spans="5:6" x14ac:dyDescent="0.25">
      <c r="E537">
        <v>6.2500000000003997</v>
      </c>
      <c r="F537">
        <f t="shared" si="9"/>
        <v>1.3374999999999799</v>
      </c>
    </row>
    <row r="538" spans="5:6" x14ac:dyDescent="0.25">
      <c r="E538">
        <v>6.3000000000004004</v>
      </c>
      <c r="F538">
        <f t="shared" si="9"/>
        <v>1.33499999999998</v>
      </c>
    </row>
    <row r="539" spans="5:6" x14ac:dyDescent="0.25">
      <c r="E539">
        <v>6.3500000000004002</v>
      </c>
      <c r="F539">
        <f t="shared" si="9"/>
        <v>1.33249999999998</v>
      </c>
    </row>
    <row r="540" spans="5:6" x14ac:dyDescent="0.25">
      <c r="E540">
        <v>6.4000000000004</v>
      </c>
      <c r="F540">
        <f t="shared" si="9"/>
        <v>1.3299999999999799</v>
      </c>
    </row>
    <row r="541" spans="5:6" x14ac:dyDescent="0.25">
      <c r="E541">
        <v>6.4500000000003999</v>
      </c>
      <c r="F541">
        <f t="shared" si="9"/>
        <v>1.3274999999999799</v>
      </c>
    </row>
    <row r="542" spans="5:6" x14ac:dyDescent="0.25">
      <c r="E542">
        <v>6.5000000000003997</v>
      </c>
      <c r="F542">
        <f t="shared" si="9"/>
        <v>1.32499999999998</v>
      </c>
    </row>
    <row r="543" spans="5:6" x14ac:dyDescent="0.25">
      <c r="E543">
        <v>6.5500000000004004</v>
      </c>
      <c r="F543">
        <f t="shared" si="9"/>
        <v>1.3224999999999798</v>
      </c>
    </row>
    <row r="544" spans="5:6" x14ac:dyDescent="0.25">
      <c r="E544">
        <v>6.6000000000004002</v>
      </c>
      <c r="F544">
        <f t="shared" si="9"/>
        <v>1.3199999999999799</v>
      </c>
    </row>
    <row r="545" spans="5:6" x14ac:dyDescent="0.25">
      <c r="E545">
        <v>6.6500000000004</v>
      </c>
      <c r="F545">
        <f t="shared" si="9"/>
        <v>1.3174999999999799</v>
      </c>
    </row>
    <row r="546" spans="5:6" x14ac:dyDescent="0.25">
      <c r="E546">
        <v>6.7000000000003999</v>
      </c>
      <c r="F546">
        <f t="shared" si="9"/>
        <v>1.31499999999998</v>
      </c>
    </row>
    <row r="547" spans="5:6" x14ac:dyDescent="0.25">
      <c r="E547">
        <v>6.7500000000003997</v>
      </c>
      <c r="F547">
        <f t="shared" si="9"/>
        <v>1.31249999999998</v>
      </c>
    </row>
    <row r="548" spans="5:6" x14ac:dyDescent="0.25">
      <c r="E548">
        <v>6.8000000000004004</v>
      </c>
      <c r="F548">
        <f t="shared" si="9"/>
        <v>1.3099999999999798</v>
      </c>
    </row>
    <row r="549" spans="5:6" x14ac:dyDescent="0.25">
      <c r="E549">
        <v>6.8500000000004002</v>
      </c>
      <c r="F549">
        <f t="shared" si="9"/>
        <v>1.3074999999999799</v>
      </c>
    </row>
    <row r="550" spans="5:6" x14ac:dyDescent="0.25">
      <c r="E550">
        <v>6.9000000000004</v>
      </c>
      <c r="F550">
        <f t="shared" si="9"/>
        <v>1.3049999999999797</v>
      </c>
    </row>
    <row r="551" spans="5:6" x14ac:dyDescent="0.25">
      <c r="E551">
        <v>6.9500000000003999</v>
      </c>
      <c r="F551">
        <f t="shared" si="9"/>
        <v>1.30249999999998</v>
      </c>
    </row>
    <row r="552" spans="5:6" x14ac:dyDescent="0.25">
      <c r="E552">
        <v>7.0000000000003997</v>
      </c>
      <c r="F552">
        <f t="shared" si="9"/>
        <v>1.2999999999999798</v>
      </c>
    </row>
    <row r="553" spans="5:6" x14ac:dyDescent="0.25">
      <c r="E553">
        <v>7.0500000000004004</v>
      </c>
      <c r="F553">
        <f t="shared" si="9"/>
        <v>1.2974999999999799</v>
      </c>
    </row>
    <row r="554" spans="5:6" x14ac:dyDescent="0.25">
      <c r="E554">
        <v>7.1000000000004002</v>
      </c>
      <c r="F554">
        <f t="shared" si="9"/>
        <v>1.2949999999999799</v>
      </c>
    </row>
    <row r="555" spans="5:6" x14ac:dyDescent="0.25">
      <c r="E555">
        <v>7.1500000000004</v>
      </c>
      <c r="F555">
        <f t="shared" si="9"/>
        <v>1.29249999999998</v>
      </c>
    </row>
    <row r="556" spans="5:6" x14ac:dyDescent="0.25">
      <c r="E556">
        <v>7.2000000000003999</v>
      </c>
      <c r="F556">
        <f t="shared" si="9"/>
        <v>1.2899999999999801</v>
      </c>
    </row>
    <row r="557" spans="5:6" x14ac:dyDescent="0.25">
      <c r="E557">
        <v>7.2500000000003997</v>
      </c>
      <c r="F557">
        <f t="shared" si="9"/>
        <v>1.2874999999999799</v>
      </c>
    </row>
    <row r="558" spans="5:6" x14ac:dyDescent="0.25">
      <c r="E558">
        <v>7.3000000000004004</v>
      </c>
      <c r="F558">
        <f t="shared" si="9"/>
        <v>1.2849999999999799</v>
      </c>
    </row>
    <row r="559" spans="5:6" x14ac:dyDescent="0.25">
      <c r="E559">
        <v>7.3500000000004002</v>
      </c>
      <c r="F559">
        <f t="shared" si="9"/>
        <v>1.2824999999999798</v>
      </c>
    </row>
    <row r="560" spans="5:6" x14ac:dyDescent="0.25">
      <c r="E560">
        <v>7.4000000000004</v>
      </c>
      <c r="F560">
        <f t="shared" si="9"/>
        <v>1.2799999999999798</v>
      </c>
    </row>
    <row r="561" spans="5:6" x14ac:dyDescent="0.25">
      <c r="E561">
        <v>7.4500000000003999</v>
      </c>
      <c r="F561">
        <f t="shared" si="9"/>
        <v>1.2774999999999799</v>
      </c>
    </row>
    <row r="562" spans="5:6" x14ac:dyDescent="0.25">
      <c r="E562">
        <v>7.5000000000003997</v>
      </c>
      <c r="F562">
        <f t="shared" si="9"/>
        <v>1.2749999999999799</v>
      </c>
    </row>
    <row r="563" spans="5:6" x14ac:dyDescent="0.25">
      <c r="E563">
        <v>7.5500000000004004</v>
      </c>
      <c r="F563">
        <f t="shared" si="9"/>
        <v>1.27249999999998</v>
      </c>
    </row>
    <row r="564" spans="5:6" x14ac:dyDescent="0.25">
      <c r="E564">
        <v>7.6000000000004002</v>
      </c>
      <c r="F564">
        <f t="shared" si="9"/>
        <v>1.2699999999999798</v>
      </c>
    </row>
    <row r="565" spans="5:6" x14ac:dyDescent="0.25">
      <c r="E565">
        <v>7.6500000000004</v>
      </c>
      <c r="F565">
        <f t="shared" si="9"/>
        <v>1.2674999999999799</v>
      </c>
    </row>
    <row r="566" spans="5:6" x14ac:dyDescent="0.25">
      <c r="E566">
        <v>7.7000000000003999</v>
      </c>
      <c r="F566">
        <f t="shared" si="9"/>
        <v>1.2649999999999799</v>
      </c>
    </row>
    <row r="567" spans="5:6" x14ac:dyDescent="0.25">
      <c r="E567">
        <v>7.7500000000003997</v>
      </c>
      <c r="F567">
        <f t="shared" si="9"/>
        <v>1.26249999999998</v>
      </c>
    </row>
    <row r="568" spans="5:6" x14ac:dyDescent="0.25">
      <c r="E568">
        <v>7.8000000000004004</v>
      </c>
      <c r="F568">
        <f t="shared" si="9"/>
        <v>1.2599999999999798</v>
      </c>
    </row>
    <row r="569" spans="5:6" x14ac:dyDescent="0.25">
      <c r="E569">
        <v>7.8500000000004002</v>
      </c>
      <c r="F569">
        <f t="shared" si="9"/>
        <v>1.2574999999999799</v>
      </c>
    </row>
    <row r="570" spans="5:6" x14ac:dyDescent="0.25">
      <c r="E570">
        <v>7.9000000000004</v>
      </c>
      <c r="F570">
        <f t="shared" si="9"/>
        <v>1.2549999999999799</v>
      </c>
    </row>
    <row r="571" spans="5:6" x14ac:dyDescent="0.25">
      <c r="E571">
        <v>7.9500000000003999</v>
      </c>
      <c r="F571">
        <f t="shared" si="9"/>
        <v>1.25249999999998</v>
      </c>
    </row>
    <row r="572" spans="5:6" x14ac:dyDescent="0.25">
      <c r="E572">
        <v>8.0000000000003997</v>
      </c>
      <c r="F572">
        <f t="shared" si="9"/>
        <v>1.24999999999998</v>
      </c>
    </row>
    <row r="573" spans="5:6" x14ac:dyDescent="0.25">
      <c r="E573">
        <v>8.0500000000004004</v>
      </c>
      <c r="F573">
        <f t="shared" si="9"/>
        <v>1.2474999999999798</v>
      </c>
    </row>
    <row r="574" spans="5:6" x14ac:dyDescent="0.25">
      <c r="E574">
        <v>8.1000000000003993</v>
      </c>
      <c r="F574">
        <f t="shared" si="9"/>
        <v>1.2449999999999799</v>
      </c>
    </row>
    <row r="575" spans="5:6" x14ac:dyDescent="0.25">
      <c r="E575">
        <v>8.1500000000004</v>
      </c>
      <c r="F575">
        <f t="shared" si="9"/>
        <v>1.2424999999999797</v>
      </c>
    </row>
    <row r="576" spans="5:6" x14ac:dyDescent="0.25">
      <c r="E576">
        <v>8.2000000000004007</v>
      </c>
      <c r="F576">
        <f t="shared" si="9"/>
        <v>1.2399999999999798</v>
      </c>
    </row>
    <row r="577" spans="5:6" x14ac:dyDescent="0.25">
      <c r="E577">
        <v>8.2500000000003997</v>
      </c>
      <c r="F577">
        <f t="shared" si="9"/>
        <v>1.2374999999999798</v>
      </c>
    </row>
    <row r="578" spans="5:6" x14ac:dyDescent="0.25">
      <c r="E578">
        <v>8.3000000000004004</v>
      </c>
      <c r="F578">
        <f t="shared" si="9"/>
        <v>1.2349999999999799</v>
      </c>
    </row>
    <row r="579" spans="5:6" x14ac:dyDescent="0.25">
      <c r="E579">
        <v>8.3500000000003993</v>
      </c>
      <c r="F579">
        <f t="shared" si="9"/>
        <v>1.2324999999999799</v>
      </c>
    </row>
    <row r="580" spans="5:6" x14ac:dyDescent="0.25">
      <c r="E580">
        <v>8.4000000000004</v>
      </c>
      <c r="F580">
        <f t="shared" si="9"/>
        <v>1.22999999999998</v>
      </c>
    </row>
    <row r="581" spans="5:6" x14ac:dyDescent="0.25">
      <c r="E581">
        <v>8.4500000000004007</v>
      </c>
      <c r="F581">
        <f t="shared" si="9"/>
        <v>1.2274999999999798</v>
      </c>
    </row>
    <row r="582" spans="5:6" x14ac:dyDescent="0.25">
      <c r="E582">
        <v>8.5000000000003997</v>
      </c>
      <c r="F582">
        <f t="shared" si="9"/>
        <v>1.2249999999999799</v>
      </c>
    </row>
    <row r="583" spans="5:6" x14ac:dyDescent="0.25">
      <c r="E583">
        <v>8.5500000000004004</v>
      </c>
      <c r="F583">
        <f t="shared" si="9"/>
        <v>1.2224999999999799</v>
      </c>
    </row>
    <row r="584" spans="5:6" x14ac:dyDescent="0.25">
      <c r="E584">
        <v>8.6000000000003993</v>
      </c>
      <c r="F584">
        <f t="shared" si="9"/>
        <v>1.21999999999998</v>
      </c>
    </row>
    <row r="585" spans="5:6" x14ac:dyDescent="0.25">
      <c r="E585">
        <v>8.6500000000004</v>
      </c>
      <c r="F585">
        <f t="shared" si="9"/>
        <v>1.2174999999999798</v>
      </c>
    </row>
    <row r="586" spans="5:6" x14ac:dyDescent="0.25">
      <c r="E586">
        <v>8.7000000000004007</v>
      </c>
      <c r="F586">
        <f t="shared" si="9"/>
        <v>1.2149999999999799</v>
      </c>
    </row>
    <row r="587" spans="5:6" x14ac:dyDescent="0.25">
      <c r="E587">
        <v>8.7500000000003997</v>
      </c>
      <c r="F587">
        <f t="shared" si="9"/>
        <v>1.2124999999999799</v>
      </c>
    </row>
    <row r="588" spans="5:6" x14ac:dyDescent="0.25">
      <c r="E588">
        <v>8.8000000000004004</v>
      </c>
      <c r="F588">
        <f t="shared" si="9"/>
        <v>1.20999999999998</v>
      </c>
    </row>
    <row r="589" spans="5:6" x14ac:dyDescent="0.25">
      <c r="E589">
        <v>8.8500000000003993</v>
      </c>
      <c r="F589">
        <f t="shared" ref="F589:F652" si="10">-(E589*$B$16*$B$13-3.3/2)</f>
        <v>1.20749999999998</v>
      </c>
    </row>
    <row r="590" spans="5:6" x14ac:dyDescent="0.25">
      <c r="E590">
        <v>8.9000000000004</v>
      </c>
      <c r="F590">
        <f t="shared" si="10"/>
        <v>1.2049999999999799</v>
      </c>
    </row>
    <row r="591" spans="5:6" x14ac:dyDescent="0.25">
      <c r="E591">
        <v>8.9500000000004007</v>
      </c>
      <c r="F591">
        <f t="shared" si="10"/>
        <v>1.2024999999999799</v>
      </c>
    </row>
    <row r="592" spans="5:6" x14ac:dyDescent="0.25">
      <c r="E592">
        <v>9.0000000000003997</v>
      </c>
      <c r="F592">
        <f t="shared" si="10"/>
        <v>1.19999999999998</v>
      </c>
    </row>
    <row r="593" spans="5:6" x14ac:dyDescent="0.25">
      <c r="E593">
        <v>9.0500000000004004</v>
      </c>
      <c r="F593">
        <f t="shared" si="10"/>
        <v>1.1974999999999798</v>
      </c>
    </row>
    <row r="594" spans="5:6" x14ac:dyDescent="0.25">
      <c r="E594">
        <v>9.1000000000003993</v>
      </c>
      <c r="F594">
        <f t="shared" si="10"/>
        <v>1.1949999999999799</v>
      </c>
    </row>
    <row r="595" spans="5:6" x14ac:dyDescent="0.25">
      <c r="E595">
        <v>9.1500000000004</v>
      </c>
      <c r="F595">
        <f t="shared" si="10"/>
        <v>1.1924999999999799</v>
      </c>
    </row>
    <row r="596" spans="5:6" x14ac:dyDescent="0.25">
      <c r="E596">
        <v>9.2000000000004007</v>
      </c>
      <c r="F596">
        <f t="shared" si="10"/>
        <v>1.18999999999998</v>
      </c>
    </row>
    <row r="597" spans="5:6" x14ac:dyDescent="0.25">
      <c r="E597">
        <v>9.2500000000003997</v>
      </c>
      <c r="F597">
        <f t="shared" si="10"/>
        <v>1.18749999999998</v>
      </c>
    </row>
    <row r="598" spans="5:6" x14ac:dyDescent="0.25">
      <c r="E598">
        <v>9.3000000000004004</v>
      </c>
      <c r="F598">
        <f t="shared" si="10"/>
        <v>1.1849999999999798</v>
      </c>
    </row>
    <row r="599" spans="5:6" x14ac:dyDescent="0.25">
      <c r="E599">
        <v>9.3500000000003993</v>
      </c>
      <c r="F599">
        <f t="shared" si="10"/>
        <v>1.1824999999999799</v>
      </c>
    </row>
    <row r="600" spans="5:6" x14ac:dyDescent="0.25">
      <c r="E600">
        <v>9.4000000000004</v>
      </c>
      <c r="F600">
        <f t="shared" si="10"/>
        <v>1.1799999999999797</v>
      </c>
    </row>
    <row r="601" spans="5:6" x14ac:dyDescent="0.25">
      <c r="E601">
        <v>9.4500000000004007</v>
      </c>
      <c r="F601">
        <f t="shared" si="10"/>
        <v>1.1774999999999798</v>
      </c>
    </row>
    <row r="602" spans="5:6" x14ac:dyDescent="0.25">
      <c r="E602">
        <v>9.5000000000003997</v>
      </c>
      <c r="F602">
        <f t="shared" si="10"/>
        <v>1.1749999999999798</v>
      </c>
    </row>
    <row r="603" spans="5:6" x14ac:dyDescent="0.25">
      <c r="E603">
        <v>9.5500000000004004</v>
      </c>
      <c r="F603">
        <f t="shared" si="10"/>
        <v>1.1724999999999799</v>
      </c>
    </row>
    <row r="604" spans="5:6" x14ac:dyDescent="0.25">
      <c r="E604">
        <v>9.6000000000003993</v>
      </c>
      <c r="F604">
        <f t="shared" si="10"/>
        <v>1.1699999999999799</v>
      </c>
    </row>
    <row r="605" spans="5:6" x14ac:dyDescent="0.25">
      <c r="E605">
        <v>9.6500000000004</v>
      </c>
      <c r="F605">
        <f t="shared" si="10"/>
        <v>1.16749999999998</v>
      </c>
    </row>
    <row r="606" spans="5:6" x14ac:dyDescent="0.25">
      <c r="E606">
        <v>9.7000000000004007</v>
      </c>
      <c r="F606">
        <f t="shared" si="10"/>
        <v>1.1649999999999798</v>
      </c>
    </row>
    <row r="607" spans="5:6" x14ac:dyDescent="0.25">
      <c r="E607">
        <v>9.7500000000003997</v>
      </c>
      <c r="F607">
        <f t="shared" si="10"/>
        <v>1.1624999999999799</v>
      </c>
    </row>
    <row r="608" spans="5:6" x14ac:dyDescent="0.25">
      <c r="E608">
        <v>9.8000000000004004</v>
      </c>
      <c r="F608">
        <f t="shared" si="10"/>
        <v>1.1599999999999799</v>
      </c>
    </row>
    <row r="609" spans="5:6" x14ac:dyDescent="0.25">
      <c r="E609">
        <v>9.8500000000003993</v>
      </c>
      <c r="F609">
        <f t="shared" si="10"/>
        <v>1.15749999999998</v>
      </c>
    </row>
    <row r="610" spans="5:6" x14ac:dyDescent="0.25">
      <c r="E610">
        <v>9.9000000000004</v>
      </c>
      <c r="F610">
        <f t="shared" si="10"/>
        <v>1.1549999999999798</v>
      </c>
    </row>
    <row r="611" spans="5:6" x14ac:dyDescent="0.25">
      <c r="E611">
        <v>9.9500000000004007</v>
      </c>
      <c r="F611">
        <f t="shared" si="10"/>
        <v>1.1524999999999799</v>
      </c>
    </row>
    <row r="612" spans="5:6" x14ac:dyDescent="0.25">
      <c r="E612">
        <v>10.0000000000004</v>
      </c>
      <c r="F612">
        <f t="shared" si="10"/>
        <v>1.1499999999999799</v>
      </c>
    </row>
    <row r="613" spans="5:6" x14ac:dyDescent="0.25">
      <c r="E613">
        <v>10.0500000000004</v>
      </c>
      <c r="F613">
        <f t="shared" si="10"/>
        <v>1.14749999999998</v>
      </c>
    </row>
    <row r="614" spans="5:6" x14ac:dyDescent="0.25">
      <c r="E614">
        <v>10.100000000000399</v>
      </c>
      <c r="F614">
        <f t="shared" si="10"/>
        <v>1.14499999999998</v>
      </c>
    </row>
    <row r="615" spans="5:6" x14ac:dyDescent="0.25">
      <c r="E615">
        <v>10.1500000000004</v>
      </c>
      <c r="F615">
        <f t="shared" si="10"/>
        <v>1.1424999999999799</v>
      </c>
    </row>
    <row r="616" spans="5:6" x14ac:dyDescent="0.25">
      <c r="E616">
        <v>10.200000000000401</v>
      </c>
      <c r="F616">
        <f t="shared" si="10"/>
        <v>1.1399999999999799</v>
      </c>
    </row>
    <row r="617" spans="5:6" x14ac:dyDescent="0.25">
      <c r="E617">
        <v>10.2500000000004</v>
      </c>
      <c r="F617">
        <f t="shared" si="10"/>
        <v>1.13749999999998</v>
      </c>
    </row>
    <row r="618" spans="5:6" x14ac:dyDescent="0.25">
      <c r="E618">
        <v>10.3000000000004</v>
      </c>
      <c r="F618">
        <f t="shared" si="10"/>
        <v>1.1349999999999798</v>
      </c>
    </row>
    <row r="619" spans="5:6" x14ac:dyDescent="0.25">
      <c r="E619">
        <v>10.350000000000399</v>
      </c>
      <c r="F619">
        <f t="shared" si="10"/>
        <v>1.1324999999999799</v>
      </c>
    </row>
    <row r="620" spans="5:6" x14ac:dyDescent="0.25">
      <c r="E620">
        <v>10.4000000000004</v>
      </c>
      <c r="F620">
        <f t="shared" si="10"/>
        <v>1.1299999999999799</v>
      </c>
    </row>
    <row r="621" spans="5:6" x14ac:dyDescent="0.25">
      <c r="E621">
        <v>10.450000000000401</v>
      </c>
      <c r="F621">
        <f t="shared" si="10"/>
        <v>1.12749999999998</v>
      </c>
    </row>
    <row r="622" spans="5:6" x14ac:dyDescent="0.25">
      <c r="E622">
        <v>10.5000000000004</v>
      </c>
      <c r="F622">
        <f t="shared" si="10"/>
        <v>1.12499999999998</v>
      </c>
    </row>
    <row r="623" spans="5:6" x14ac:dyDescent="0.25">
      <c r="E623">
        <v>10.5500000000004</v>
      </c>
      <c r="F623">
        <f t="shared" si="10"/>
        <v>1.1224999999999798</v>
      </c>
    </row>
    <row r="624" spans="5:6" x14ac:dyDescent="0.25">
      <c r="E624">
        <v>10.600000000000399</v>
      </c>
      <c r="F624">
        <f t="shared" si="10"/>
        <v>1.1199999999999799</v>
      </c>
    </row>
    <row r="625" spans="5:6" x14ac:dyDescent="0.25">
      <c r="E625">
        <v>10.6500000000004</v>
      </c>
      <c r="F625">
        <f t="shared" si="10"/>
        <v>1.1174999999999797</v>
      </c>
    </row>
    <row r="626" spans="5:6" x14ac:dyDescent="0.25">
      <c r="E626">
        <v>10.700000000000401</v>
      </c>
      <c r="F626">
        <f t="shared" si="10"/>
        <v>1.1149999999999798</v>
      </c>
    </row>
    <row r="627" spans="5:6" x14ac:dyDescent="0.25">
      <c r="E627">
        <v>10.7500000000004</v>
      </c>
      <c r="F627">
        <f t="shared" si="10"/>
        <v>1.1124999999999798</v>
      </c>
    </row>
    <row r="628" spans="5:6" x14ac:dyDescent="0.25">
      <c r="E628">
        <v>10.8000000000004</v>
      </c>
      <c r="F628">
        <f t="shared" si="10"/>
        <v>1.1099999999999799</v>
      </c>
    </row>
    <row r="629" spans="5:6" x14ac:dyDescent="0.25">
      <c r="E629">
        <v>10.850000000000399</v>
      </c>
      <c r="F629">
        <f t="shared" si="10"/>
        <v>1.1074999999999799</v>
      </c>
    </row>
    <row r="630" spans="5:6" x14ac:dyDescent="0.25">
      <c r="E630">
        <v>10.9000000000004</v>
      </c>
      <c r="F630">
        <f t="shared" si="10"/>
        <v>1.10499999999998</v>
      </c>
    </row>
    <row r="631" spans="5:6" x14ac:dyDescent="0.25">
      <c r="E631">
        <v>10.950000000000401</v>
      </c>
      <c r="F631">
        <f t="shared" si="10"/>
        <v>1.1024999999999798</v>
      </c>
    </row>
    <row r="632" spans="5:6" x14ac:dyDescent="0.25">
      <c r="E632">
        <v>11.0000000000004</v>
      </c>
      <c r="F632">
        <f t="shared" si="10"/>
        <v>1.0999999999999799</v>
      </c>
    </row>
    <row r="633" spans="5:6" x14ac:dyDescent="0.25">
      <c r="E633">
        <v>11.0500000000004</v>
      </c>
      <c r="F633">
        <f t="shared" si="10"/>
        <v>1.0974999999999797</v>
      </c>
    </row>
    <row r="634" spans="5:6" x14ac:dyDescent="0.25">
      <c r="E634">
        <v>11.100000000000399</v>
      </c>
      <c r="F634">
        <f t="shared" si="10"/>
        <v>1.0949999999999798</v>
      </c>
    </row>
    <row r="635" spans="5:6" x14ac:dyDescent="0.25">
      <c r="E635">
        <v>11.1500000000004</v>
      </c>
      <c r="F635">
        <f t="shared" si="10"/>
        <v>1.0924999999999798</v>
      </c>
    </row>
    <row r="636" spans="5:6" x14ac:dyDescent="0.25">
      <c r="E636">
        <v>11.200000000000401</v>
      </c>
      <c r="F636">
        <f t="shared" si="10"/>
        <v>1.0899999999999799</v>
      </c>
    </row>
    <row r="637" spans="5:6" x14ac:dyDescent="0.25">
      <c r="E637">
        <v>11.2500000000004</v>
      </c>
      <c r="F637">
        <f t="shared" si="10"/>
        <v>1.0874999999999799</v>
      </c>
    </row>
    <row r="638" spans="5:6" x14ac:dyDescent="0.25">
      <c r="E638">
        <v>11.3000000000004</v>
      </c>
      <c r="F638">
        <f t="shared" si="10"/>
        <v>1.08499999999998</v>
      </c>
    </row>
    <row r="639" spans="5:6" x14ac:dyDescent="0.25">
      <c r="E639">
        <v>11.350000000000399</v>
      </c>
      <c r="F639">
        <f t="shared" si="10"/>
        <v>1.08249999999998</v>
      </c>
    </row>
    <row r="640" spans="5:6" x14ac:dyDescent="0.25">
      <c r="E640">
        <v>11.4000000000004</v>
      </c>
      <c r="F640">
        <f t="shared" si="10"/>
        <v>1.0799999999999799</v>
      </c>
    </row>
    <row r="641" spans="5:6" x14ac:dyDescent="0.25">
      <c r="E641">
        <v>11.450000000000401</v>
      </c>
      <c r="F641">
        <f t="shared" si="10"/>
        <v>1.0774999999999797</v>
      </c>
    </row>
    <row r="642" spans="5:6" x14ac:dyDescent="0.25">
      <c r="E642">
        <v>11.5000000000004</v>
      </c>
      <c r="F642">
        <f t="shared" si="10"/>
        <v>1.07499999999998</v>
      </c>
    </row>
    <row r="643" spans="5:6" x14ac:dyDescent="0.25">
      <c r="E643">
        <v>11.5500000000004</v>
      </c>
      <c r="F643">
        <f t="shared" si="10"/>
        <v>1.0724999999999798</v>
      </c>
    </row>
    <row r="644" spans="5:6" x14ac:dyDescent="0.25">
      <c r="E644">
        <v>11.600000000000399</v>
      </c>
      <c r="F644">
        <f t="shared" si="10"/>
        <v>1.0699999999999799</v>
      </c>
    </row>
    <row r="645" spans="5:6" x14ac:dyDescent="0.25">
      <c r="E645">
        <v>11.6500000000004</v>
      </c>
      <c r="F645">
        <f t="shared" si="10"/>
        <v>1.0674999999999799</v>
      </c>
    </row>
    <row r="646" spans="5:6" x14ac:dyDescent="0.25">
      <c r="E646">
        <v>11.7000000000005</v>
      </c>
      <c r="F646">
        <f t="shared" si="10"/>
        <v>1.0649999999999749</v>
      </c>
    </row>
    <row r="647" spans="5:6" x14ac:dyDescent="0.25">
      <c r="E647">
        <v>11.750000000000499</v>
      </c>
      <c r="F647">
        <f t="shared" si="10"/>
        <v>1.0624999999999749</v>
      </c>
    </row>
    <row r="648" spans="5:6" x14ac:dyDescent="0.25">
      <c r="E648">
        <v>11.8000000000005</v>
      </c>
      <c r="F648">
        <f t="shared" si="10"/>
        <v>1.0599999999999747</v>
      </c>
    </row>
    <row r="649" spans="5:6" x14ac:dyDescent="0.25">
      <c r="E649">
        <v>11.850000000000501</v>
      </c>
      <c r="F649">
        <f t="shared" si="10"/>
        <v>1.0574999999999748</v>
      </c>
    </row>
    <row r="650" spans="5:6" x14ac:dyDescent="0.25">
      <c r="E650">
        <v>11.9000000000005</v>
      </c>
      <c r="F650">
        <f t="shared" si="10"/>
        <v>1.0549999999999748</v>
      </c>
    </row>
    <row r="651" spans="5:6" x14ac:dyDescent="0.25">
      <c r="E651">
        <v>11.9500000000005</v>
      </c>
      <c r="F651">
        <f t="shared" si="10"/>
        <v>1.0524999999999749</v>
      </c>
    </row>
    <row r="652" spans="5:6" x14ac:dyDescent="0.25">
      <c r="E652">
        <v>12.000000000000499</v>
      </c>
      <c r="F652">
        <f t="shared" si="10"/>
        <v>1.049999999999975</v>
      </c>
    </row>
    <row r="653" spans="5:6" x14ac:dyDescent="0.25">
      <c r="E653">
        <v>12.0500000000005</v>
      </c>
      <c r="F653">
        <f t="shared" ref="F653:F716" si="11">-(E653*$B$16*$B$13-3.3/2)</f>
        <v>1.047499999999975</v>
      </c>
    </row>
    <row r="654" spans="5:6" x14ac:dyDescent="0.25">
      <c r="E654">
        <v>12.100000000000501</v>
      </c>
      <c r="F654">
        <f t="shared" si="11"/>
        <v>1.0449999999999748</v>
      </c>
    </row>
    <row r="655" spans="5:6" x14ac:dyDescent="0.25">
      <c r="E655">
        <v>12.1500000000005</v>
      </c>
      <c r="F655">
        <f t="shared" si="11"/>
        <v>1.0424999999999749</v>
      </c>
    </row>
    <row r="656" spans="5:6" x14ac:dyDescent="0.25">
      <c r="E656">
        <v>12.2000000000005</v>
      </c>
      <c r="F656">
        <f t="shared" si="11"/>
        <v>1.0399999999999747</v>
      </c>
    </row>
    <row r="657" spans="5:6" x14ac:dyDescent="0.25">
      <c r="E657">
        <v>12.250000000000499</v>
      </c>
      <c r="F657">
        <f t="shared" si="11"/>
        <v>1.037499999999975</v>
      </c>
    </row>
    <row r="658" spans="5:6" x14ac:dyDescent="0.25">
      <c r="E658">
        <v>12.3000000000005</v>
      </c>
      <c r="F658">
        <f t="shared" si="11"/>
        <v>1.0349999999999748</v>
      </c>
    </row>
    <row r="659" spans="5:6" x14ac:dyDescent="0.25">
      <c r="E659">
        <v>12.350000000000501</v>
      </c>
      <c r="F659">
        <f t="shared" si="11"/>
        <v>1.0324999999999749</v>
      </c>
    </row>
    <row r="660" spans="5:6" x14ac:dyDescent="0.25">
      <c r="E660">
        <v>12.4000000000005</v>
      </c>
      <c r="F660">
        <f t="shared" si="11"/>
        <v>1.0299999999999749</v>
      </c>
    </row>
    <row r="661" spans="5:6" x14ac:dyDescent="0.25">
      <c r="E661">
        <v>12.4500000000005</v>
      </c>
      <c r="F661">
        <f t="shared" si="11"/>
        <v>1.027499999999975</v>
      </c>
    </row>
    <row r="662" spans="5:6" x14ac:dyDescent="0.25">
      <c r="E662">
        <v>12.500000000000499</v>
      </c>
      <c r="F662">
        <f t="shared" si="11"/>
        <v>1.024999999999975</v>
      </c>
    </row>
    <row r="663" spans="5:6" x14ac:dyDescent="0.25">
      <c r="E663">
        <v>12.5500000000005</v>
      </c>
      <c r="F663">
        <f t="shared" si="11"/>
        <v>1.0224999999999749</v>
      </c>
    </row>
    <row r="664" spans="5:6" x14ac:dyDescent="0.25">
      <c r="E664">
        <v>12.600000000000501</v>
      </c>
      <c r="F664">
        <f t="shared" si="11"/>
        <v>1.0199999999999749</v>
      </c>
    </row>
    <row r="665" spans="5:6" x14ac:dyDescent="0.25">
      <c r="E665">
        <v>12.6500000000005</v>
      </c>
      <c r="F665">
        <f t="shared" si="11"/>
        <v>1.0174999999999748</v>
      </c>
    </row>
    <row r="666" spans="5:6" x14ac:dyDescent="0.25">
      <c r="E666">
        <v>12.7000000000005</v>
      </c>
      <c r="F666">
        <f t="shared" si="11"/>
        <v>1.0149999999999748</v>
      </c>
    </row>
    <row r="667" spans="5:6" x14ac:dyDescent="0.25">
      <c r="E667">
        <v>12.750000000000499</v>
      </c>
      <c r="F667">
        <f t="shared" si="11"/>
        <v>1.0124999999999749</v>
      </c>
    </row>
    <row r="668" spans="5:6" x14ac:dyDescent="0.25">
      <c r="E668">
        <v>12.8000000000005</v>
      </c>
      <c r="F668">
        <f t="shared" si="11"/>
        <v>1.0099999999999749</v>
      </c>
    </row>
    <row r="669" spans="5:6" x14ac:dyDescent="0.25">
      <c r="E669">
        <v>12.850000000000501</v>
      </c>
      <c r="F669">
        <f t="shared" si="11"/>
        <v>1.007499999999975</v>
      </c>
    </row>
    <row r="670" spans="5:6" x14ac:dyDescent="0.25">
      <c r="E670">
        <v>12.9000000000005</v>
      </c>
      <c r="F670">
        <f t="shared" si="11"/>
        <v>1.004999999999975</v>
      </c>
    </row>
    <row r="671" spans="5:6" x14ac:dyDescent="0.25">
      <c r="E671">
        <v>12.9500000000005</v>
      </c>
      <c r="F671">
        <f t="shared" si="11"/>
        <v>1.0024999999999749</v>
      </c>
    </row>
    <row r="672" spans="5:6" x14ac:dyDescent="0.25">
      <c r="E672">
        <v>13.000000000000499</v>
      </c>
      <c r="F672">
        <f t="shared" si="11"/>
        <v>0.99999999999997491</v>
      </c>
    </row>
    <row r="673" spans="5:6" x14ac:dyDescent="0.25">
      <c r="E673">
        <v>13.0500000000005</v>
      </c>
      <c r="F673">
        <f t="shared" si="11"/>
        <v>0.99749999999997485</v>
      </c>
    </row>
    <row r="674" spans="5:6" x14ac:dyDescent="0.25">
      <c r="E674">
        <v>13.100000000000501</v>
      </c>
      <c r="F674">
        <f t="shared" si="11"/>
        <v>0.9949999999999749</v>
      </c>
    </row>
    <row r="675" spans="5:6" x14ac:dyDescent="0.25">
      <c r="E675">
        <v>13.1500000000005</v>
      </c>
      <c r="F675">
        <f t="shared" si="11"/>
        <v>0.99249999999997485</v>
      </c>
    </row>
    <row r="676" spans="5:6" x14ac:dyDescent="0.25">
      <c r="E676">
        <v>13.2000000000005</v>
      </c>
      <c r="F676">
        <f t="shared" si="11"/>
        <v>0.9899999999999749</v>
      </c>
    </row>
    <row r="677" spans="5:6" x14ac:dyDescent="0.25">
      <c r="E677">
        <v>13.250000000000499</v>
      </c>
      <c r="F677">
        <f t="shared" si="11"/>
        <v>0.98749999999997484</v>
      </c>
    </row>
    <row r="678" spans="5:6" x14ac:dyDescent="0.25">
      <c r="E678">
        <v>13.3000000000005</v>
      </c>
      <c r="F678">
        <f t="shared" si="11"/>
        <v>0.9849999999999749</v>
      </c>
    </row>
    <row r="679" spans="5:6" x14ac:dyDescent="0.25">
      <c r="E679">
        <v>13.350000000000501</v>
      </c>
      <c r="F679">
        <f t="shared" si="11"/>
        <v>0.98249999999997484</v>
      </c>
    </row>
    <row r="680" spans="5:6" x14ac:dyDescent="0.25">
      <c r="E680">
        <v>13.4000000000005</v>
      </c>
      <c r="F680">
        <f t="shared" si="11"/>
        <v>0.97999999999997489</v>
      </c>
    </row>
    <row r="681" spans="5:6" x14ac:dyDescent="0.25">
      <c r="E681">
        <v>13.4500000000005</v>
      </c>
      <c r="F681">
        <f t="shared" si="11"/>
        <v>0.97749999999997483</v>
      </c>
    </row>
    <row r="682" spans="5:6" x14ac:dyDescent="0.25">
      <c r="E682">
        <v>13.500000000000499</v>
      </c>
      <c r="F682">
        <f t="shared" si="11"/>
        <v>0.97499999999997489</v>
      </c>
    </row>
    <row r="683" spans="5:6" x14ac:dyDescent="0.25">
      <c r="E683">
        <v>13.5500000000005</v>
      </c>
      <c r="F683">
        <f t="shared" si="11"/>
        <v>0.97249999999997494</v>
      </c>
    </row>
    <row r="684" spans="5:6" x14ac:dyDescent="0.25">
      <c r="E684">
        <v>13.600000000000501</v>
      </c>
      <c r="F684">
        <f t="shared" si="11"/>
        <v>0.96999999999997488</v>
      </c>
    </row>
    <row r="685" spans="5:6" x14ac:dyDescent="0.25">
      <c r="E685">
        <v>13.6500000000005</v>
      </c>
      <c r="F685">
        <f t="shared" si="11"/>
        <v>0.96749999999997494</v>
      </c>
    </row>
    <row r="686" spans="5:6" x14ac:dyDescent="0.25">
      <c r="E686">
        <v>13.7000000000005</v>
      </c>
      <c r="F686">
        <f t="shared" si="11"/>
        <v>0.96499999999997488</v>
      </c>
    </row>
    <row r="687" spans="5:6" x14ac:dyDescent="0.25">
      <c r="E687">
        <v>13.750000000000499</v>
      </c>
      <c r="F687">
        <f t="shared" si="11"/>
        <v>0.96249999999997493</v>
      </c>
    </row>
    <row r="688" spans="5:6" x14ac:dyDescent="0.25">
      <c r="E688">
        <v>13.8000000000005</v>
      </c>
      <c r="F688">
        <f t="shared" si="11"/>
        <v>0.95999999999997487</v>
      </c>
    </row>
    <row r="689" spans="5:6" x14ac:dyDescent="0.25">
      <c r="E689">
        <v>13.850000000000501</v>
      </c>
      <c r="F689">
        <f t="shared" si="11"/>
        <v>0.95749999999997493</v>
      </c>
    </row>
    <row r="690" spans="5:6" x14ac:dyDescent="0.25">
      <c r="E690">
        <v>13.9000000000005</v>
      </c>
      <c r="F690">
        <f t="shared" si="11"/>
        <v>0.95499999999997487</v>
      </c>
    </row>
    <row r="691" spans="5:6" x14ac:dyDescent="0.25">
      <c r="E691">
        <v>13.9500000000005</v>
      </c>
      <c r="F691">
        <f t="shared" si="11"/>
        <v>0.95249999999997492</v>
      </c>
    </row>
    <row r="692" spans="5:6" x14ac:dyDescent="0.25">
      <c r="E692">
        <v>14.000000000000499</v>
      </c>
      <c r="F692">
        <f t="shared" si="11"/>
        <v>0.94999999999997486</v>
      </c>
    </row>
    <row r="693" spans="5:6" x14ac:dyDescent="0.25">
      <c r="E693">
        <v>14.0500000000005</v>
      </c>
      <c r="F693">
        <f t="shared" si="11"/>
        <v>0.94749999999997492</v>
      </c>
    </row>
    <row r="694" spans="5:6" x14ac:dyDescent="0.25">
      <c r="E694">
        <v>14.100000000000501</v>
      </c>
      <c r="F694">
        <f t="shared" si="11"/>
        <v>0.94499999999997486</v>
      </c>
    </row>
    <row r="695" spans="5:6" x14ac:dyDescent="0.25">
      <c r="E695">
        <v>14.1500000000005</v>
      </c>
      <c r="F695">
        <f t="shared" si="11"/>
        <v>0.94249999999997491</v>
      </c>
    </row>
    <row r="696" spans="5:6" x14ac:dyDescent="0.25">
      <c r="E696">
        <v>14.2000000000005</v>
      </c>
      <c r="F696">
        <f t="shared" si="11"/>
        <v>0.93999999999997486</v>
      </c>
    </row>
    <row r="697" spans="5:6" x14ac:dyDescent="0.25">
      <c r="E697">
        <v>14.250000000000499</v>
      </c>
      <c r="F697">
        <f t="shared" si="11"/>
        <v>0.93749999999997491</v>
      </c>
    </row>
    <row r="698" spans="5:6" x14ac:dyDescent="0.25">
      <c r="E698">
        <v>14.3000000000005</v>
      </c>
      <c r="F698">
        <f t="shared" si="11"/>
        <v>0.93499999999997485</v>
      </c>
    </row>
    <row r="699" spans="5:6" x14ac:dyDescent="0.25">
      <c r="E699">
        <v>14.350000000000501</v>
      </c>
      <c r="F699">
        <f t="shared" si="11"/>
        <v>0.9324999999999749</v>
      </c>
    </row>
    <row r="700" spans="5:6" x14ac:dyDescent="0.25">
      <c r="E700">
        <v>14.4000000000005</v>
      </c>
      <c r="F700">
        <f t="shared" si="11"/>
        <v>0.92999999999997485</v>
      </c>
    </row>
    <row r="701" spans="5:6" x14ac:dyDescent="0.25">
      <c r="E701">
        <v>14.4500000000005</v>
      </c>
      <c r="F701">
        <f t="shared" si="11"/>
        <v>0.9274999999999749</v>
      </c>
    </row>
    <row r="702" spans="5:6" x14ac:dyDescent="0.25">
      <c r="E702">
        <v>14.500000000000499</v>
      </c>
      <c r="F702">
        <f t="shared" si="11"/>
        <v>0.92499999999997484</v>
      </c>
    </row>
    <row r="703" spans="5:6" x14ac:dyDescent="0.25">
      <c r="E703">
        <v>14.5500000000005</v>
      </c>
      <c r="F703">
        <f t="shared" si="11"/>
        <v>0.9224999999999749</v>
      </c>
    </row>
    <row r="704" spans="5:6" x14ac:dyDescent="0.25">
      <c r="E704">
        <v>14.600000000000501</v>
      </c>
      <c r="F704">
        <f t="shared" si="11"/>
        <v>0.91999999999997484</v>
      </c>
    </row>
    <row r="705" spans="5:6" x14ac:dyDescent="0.25">
      <c r="E705">
        <v>14.6500000000005</v>
      </c>
      <c r="F705">
        <f t="shared" si="11"/>
        <v>0.91749999999997489</v>
      </c>
    </row>
    <row r="706" spans="5:6" x14ac:dyDescent="0.25">
      <c r="E706">
        <v>14.7000000000005</v>
      </c>
      <c r="F706">
        <f t="shared" si="11"/>
        <v>0.91499999999997483</v>
      </c>
    </row>
    <row r="707" spans="5:6" x14ac:dyDescent="0.25">
      <c r="E707">
        <v>14.750000000000499</v>
      </c>
      <c r="F707">
        <f t="shared" si="11"/>
        <v>0.91249999999997489</v>
      </c>
    </row>
    <row r="708" spans="5:6" x14ac:dyDescent="0.25">
      <c r="E708">
        <v>14.8000000000005</v>
      </c>
      <c r="F708">
        <f t="shared" si="11"/>
        <v>0.90999999999997494</v>
      </c>
    </row>
    <row r="709" spans="5:6" x14ac:dyDescent="0.25">
      <c r="E709">
        <v>14.850000000000501</v>
      </c>
      <c r="F709">
        <f t="shared" si="11"/>
        <v>0.90749999999997488</v>
      </c>
    </row>
    <row r="710" spans="5:6" x14ac:dyDescent="0.25">
      <c r="E710">
        <v>14.9000000000005</v>
      </c>
      <c r="F710">
        <f t="shared" si="11"/>
        <v>0.90499999999997494</v>
      </c>
    </row>
    <row r="711" spans="5:6" x14ac:dyDescent="0.25">
      <c r="E711">
        <v>14.9500000000005</v>
      </c>
      <c r="F711">
        <f t="shared" si="11"/>
        <v>0.90249999999997488</v>
      </c>
    </row>
    <row r="712" spans="5:6" x14ac:dyDescent="0.25">
      <c r="E712">
        <v>15.000000000000499</v>
      </c>
      <c r="F712">
        <f t="shared" si="11"/>
        <v>0.89999999999997493</v>
      </c>
    </row>
    <row r="713" spans="5:6" x14ac:dyDescent="0.25">
      <c r="E713">
        <v>15.0500000000005</v>
      </c>
      <c r="F713">
        <f t="shared" si="11"/>
        <v>0.89749999999997487</v>
      </c>
    </row>
    <row r="714" spans="5:6" x14ac:dyDescent="0.25">
      <c r="E714">
        <v>15.100000000000501</v>
      </c>
      <c r="F714">
        <f t="shared" si="11"/>
        <v>0.89499999999997493</v>
      </c>
    </row>
    <row r="715" spans="5:6" x14ac:dyDescent="0.25">
      <c r="E715">
        <v>15.1500000000005</v>
      </c>
      <c r="F715">
        <f t="shared" si="11"/>
        <v>0.89249999999997487</v>
      </c>
    </row>
    <row r="716" spans="5:6" x14ac:dyDescent="0.25">
      <c r="E716">
        <v>15.2000000000005</v>
      </c>
      <c r="F716">
        <f t="shared" si="11"/>
        <v>0.88999999999997492</v>
      </c>
    </row>
    <row r="717" spans="5:6" x14ac:dyDescent="0.25">
      <c r="E717">
        <v>15.250000000000499</v>
      </c>
      <c r="F717">
        <f t="shared" ref="F717:F780" si="12">-(E717*$B$16*$B$13-3.3/2)</f>
        <v>0.88749999999997486</v>
      </c>
    </row>
    <row r="718" spans="5:6" x14ac:dyDescent="0.25">
      <c r="E718">
        <v>15.3000000000005</v>
      </c>
      <c r="F718">
        <f t="shared" si="12"/>
        <v>0.88499999999997492</v>
      </c>
    </row>
    <row r="719" spans="5:6" x14ac:dyDescent="0.25">
      <c r="E719">
        <v>15.350000000000501</v>
      </c>
      <c r="F719">
        <f t="shared" si="12"/>
        <v>0.88249999999997486</v>
      </c>
    </row>
    <row r="720" spans="5:6" x14ac:dyDescent="0.25">
      <c r="E720">
        <v>15.4000000000005</v>
      </c>
      <c r="F720">
        <f t="shared" si="12"/>
        <v>0.87999999999997491</v>
      </c>
    </row>
    <row r="721" spans="5:6" x14ac:dyDescent="0.25">
      <c r="E721">
        <v>15.4500000000005</v>
      </c>
      <c r="F721">
        <f t="shared" si="12"/>
        <v>0.87749999999997486</v>
      </c>
    </row>
    <row r="722" spans="5:6" x14ac:dyDescent="0.25">
      <c r="E722">
        <v>15.500000000000499</v>
      </c>
      <c r="F722">
        <f t="shared" si="12"/>
        <v>0.87499999999997491</v>
      </c>
    </row>
    <row r="723" spans="5:6" x14ac:dyDescent="0.25">
      <c r="E723">
        <v>15.5500000000005</v>
      </c>
      <c r="F723">
        <f t="shared" si="12"/>
        <v>0.87249999999997485</v>
      </c>
    </row>
    <row r="724" spans="5:6" x14ac:dyDescent="0.25">
      <c r="E724">
        <v>15.600000000000501</v>
      </c>
      <c r="F724">
        <f t="shared" si="12"/>
        <v>0.8699999999999749</v>
      </c>
    </row>
    <row r="725" spans="5:6" x14ac:dyDescent="0.25">
      <c r="E725">
        <v>15.6500000000005</v>
      </c>
      <c r="F725">
        <f t="shared" si="12"/>
        <v>0.86749999999997485</v>
      </c>
    </row>
    <row r="726" spans="5:6" x14ac:dyDescent="0.25">
      <c r="E726">
        <v>15.7000000000005</v>
      </c>
      <c r="F726">
        <f t="shared" si="12"/>
        <v>0.8649999999999749</v>
      </c>
    </row>
    <row r="727" spans="5:6" x14ac:dyDescent="0.25">
      <c r="E727">
        <v>15.750000000000499</v>
      </c>
      <c r="F727">
        <f t="shared" si="12"/>
        <v>0.86249999999997484</v>
      </c>
    </row>
    <row r="728" spans="5:6" x14ac:dyDescent="0.25">
      <c r="E728">
        <v>15.8000000000005</v>
      </c>
      <c r="F728">
        <f t="shared" si="12"/>
        <v>0.8599999999999749</v>
      </c>
    </row>
    <row r="729" spans="5:6" x14ac:dyDescent="0.25">
      <c r="E729">
        <v>15.850000000000501</v>
      </c>
      <c r="F729">
        <f t="shared" si="12"/>
        <v>0.85749999999997484</v>
      </c>
    </row>
    <row r="730" spans="5:6" x14ac:dyDescent="0.25">
      <c r="E730">
        <v>15.9000000000005</v>
      </c>
      <c r="F730">
        <f t="shared" si="12"/>
        <v>0.85499999999997489</v>
      </c>
    </row>
    <row r="731" spans="5:6" x14ac:dyDescent="0.25">
      <c r="E731">
        <v>15.9500000000005</v>
      </c>
      <c r="F731">
        <f t="shared" si="12"/>
        <v>0.85249999999997483</v>
      </c>
    </row>
    <row r="732" spans="5:6" x14ac:dyDescent="0.25">
      <c r="E732">
        <v>16.000000000000501</v>
      </c>
      <c r="F732">
        <f t="shared" si="12"/>
        <v>0.84999999999997489</v>
      </c>
    </row>
    <row r="733" spans="5:6" x14ac:dyDescent="0.25">
      <c r="E733">
        <v>16.050000000000502</v>
      </c>
      <c r="F733">
        <f t="shared" si="12"/>
        <v>0.84749999999997483</v>
      </c>
    </row>
    <row r="734" spans="5:6" x14ac:dyDescent="0.25">
      <c r="E734">
        <v>16.100000000000499</v>
      </c>
      <c r="F734">
        <f t="shared" si="12"/>
        <v>0.84499999999997488</v>
      </c>
    </row>
    <row r="735" spans="5:6" x14ac:dyDescent="0.25">
      <c r="E735">
        <v>16.1500000000005</v>
      </c>
      <c r="F735">
        <f t="shared" si="12"/>
        <v>0.84249999999997494</v>
      </c>
    </row>
    <row r="736" spans="5:6" x14ac:dyDescent="0.25">
      <c r="E736">
        <v>16.2000000000005</v>
      </c>
      <c r="F736">
        <f t="shared" si="12"/>
        <v>0.83999999999997488</v>
      </c>
    </row>
    <row r="737" spans="5:6" x14ac:dyDescent="0.25">
      <c r="E737">
        <v>16.250000000000501</v>
      </c>
      <c r="F737">
        <f t="shared" si="12"/>
        <v>0.83749999999997493</v>
      </c>
    </row>
    <row r="738" spans="5:6" x14ac:dyDescent="0.25">
      <c r="E738">
        <v>16.300000000000502</v>
      </c>
      <c r="F738">
        <f t="shared" si="12"/>
        <v>0.83499999999997487</v>
      </c>
    </row>
    <row r="739" spans="5:6" x14ac:dyDescent="0.25">
      <c r="E739">
        <v>16.350000000000499</v>
      </c>
      <c r="F739">
        <f t="shared" si="12"/>
        <v>0.83249999999997493</v>
      </c>
    </row>
    <row r="740" spans="5:6" x14ac:dyDescent="0.25">
      <c r="E740">
        <v>16.4000000000005</v>
      </c>
      <c r="F740">
        <f t="shared" si="12"/>
        <v>0.82999999999997487</v>
      </c>
    </row>
    <row r="741" spans="5:6" x14ac:dyDescent="0.25">
      <c r="E741">
        <v>16.4500000000005</v>
      </c>
      <c r="F741">
        <f t="shared" si="12"/>
        <v>0.82749999999997492</v>
      </c>
    </row>
    <row r="742" spans="5:6" x14ac:dyDescent="0.25">
      <c r="E742">
        <v>16.500000000000501</v>
      </c>
      <c r="F742">
        <f t="shared" si="12"/>
        <v>0.82499999999997486</v>
      </c>
    </row>
    <row r="743" spans="5:6" x14ac:dyDescent="0.25">
      <c r="E743">
        <v>16.550000000000502</v>
      </c>
      <c r="F743">
        <f t="shared" si="12"/>
        <v>0.82249999999997492</v>
      </c>
    </row>
    <row r="744" spans="5:6" x14ac:dyDescent="0.25">
      <c r="E744">
        <v>16.600000000000499</v>
      </c>
      <c r="F744">
        <f t="shared" si="12"/>
        <v>0.81999999999997486</v>
      </c>
    </row>
    <row r="745" spans="5:6" x14ac:dyDescent="0.25">
      <c r="E745">
        <v>16.6500000000005</v>
      </c>
      <c r="F745">
        <f t="shared" si="12"/>
        <v>0.81749999999997491</v>
      </c>
    </row>
    <row r="746" spans="5:6" x14ac:dyDescent="0.25">
      <c r="E746">
        <v>16.7000000000005</v>
      </c>
      <c r="F746">
        <f t="shared" si="12"/>
        <v>0.81499999999997486</v>
      </c>
    </row>
    <row r="747" spans="5:6" x14ac:dyDescent="0.25">
      <c r="E747">
        <v>16.750000000000501</v>
      </c>
      <c r="F747">
        <f t="shared" si="12"/>
        <v>0.81249999999997491</v>
      </c>
    </row>
    <row r="748" spans="5:6" x14ac:dyDescent="0.25">
      <c r="E748">
        <v>16.800000000000502</v>
      </c>
      <c r="F748">
        <f t="shared" si="12"/>
        <v>0.80999999999997485</v>
      </c>
    </row>
    <row r="749" spans="5:6" x14ac:dyDescent="0.25">
      <c r="E749">
        <v>16.850000000000499</v>
      </c>
      <c r="F749">
        <f t="shared" si="12"/>
        <v>0.8074999999999749</v>
      </c>
    </row>
    <row r="750" spans="5:6" x14ac:dyDescent="0.25">
      <c r="E750">
        <v>16.9000000000005</v>
      </c>
      <c r="F750">
        <f t="shared" si="12"/>
        <v>0.80499999999997485</v>
      </c>
    </row>
    <row r="751" spans="5:6" x14ac:dyDescent="0.25">
      <c r="E751">
        <v>16.9500000000005</v>
      </c>
      <c r="F751">
        <f t="shared" si="12"/>
        <v>0.8024999999999749</v>
      </c>
    </row>
    <row r="752" spans="5:6" x14ac:dyDescent="0.25">
      <c r="E752">
        <v>17.000000000000501</v>
      </c>
      <c r="F752">
        <f t="shared" si="12"/>
        <v>0.79999999999997484</v>
      </c>
    </row>
    <row r="753" spans="5:6" x14ac:dyDescent="0.25">
      <c r="E753">
        <v>17.050000000000502</v>
      </c>
      <c r="F753">
        <f t="shared" si="12"/>
        <v>0.7974999999999749</v>
      </c>
    </row>
    <row r="754" spans="5:6" x14ac:dyDescent="0.25">
      <c r="E754">
        <v>17.100000000000499</v>
      </c>
      <c r="F754">
        <f t="shared" si="12"/>
        <v>0.79499999999997484</v>
      </c>
    </row>
    <row r="755" spans="5:6" x14ac:dyDescent="0.25">
      <c r="E755">
        <v>17.1500000000005</v>
      </c>
      <c r="F755">
        <f t="shared" si="12"/>
        <v>0.79249999999997489</v>
      </c>
    </row>
    <row r="756" spans="5:6" x14ac:dyDescent="0.25">
      <c r="E756">
        <v>17.2000000000005</v>
      </c>
      <c r="F756">
        <f t="shared" si="12"/>
        <v>0.78999999999997483</v>
      </c>
    </row>
    <row r="757" spans="5:6" x14ac:dyDescent="0.25">
      <c r="E757">
        <v>17.250000000000501</v>
      </c>
      <c r="F757">
        <f t="shared" si="12"/>
        <v>0.78749999999997489</v>
      </c>
    </row>
    <row r="758" spans="5:6" x14ac:dyDescent="0.25">
      <c r="E758">
        <v>17.300000000000502</v>
      </c>
      <c r="F758">
        <f t="shared" si="12"/>
        <v>0.78499999999997483</v>
      </c>
    </row>
    <row r="759" spans="5:6" x14ac:dyDescent="0.25">
      <c r="E759">
        <v>17.350000000000499</v>
      </c>
      <c r="F759">
        <f t="shared" si="12"/>
        <v>0.78249999999997488</v>
      </c>
    </row>
    <row r="760" spans="5:6" x14ac:dyDescent="0.25">
      <c r="E760">
        <v>17.4000000000005</v>
      </c>
      <c r="F760">
        <f t="shared" si="12"/>
        <v>0.77999999999997494</v>
      </c>
    </row>
    <row r="761" spans="5:6" x14ac:dyDescent="0.25">
      <c r="E761">
        <v>17.4500000000005</v>
      </c>
      <c r="F761">
        <f t="shared" si="12"/>
        <v>0.77749999999997488</v>
      </c>
    </row>
    <row r="762" spans="5:6" x14ac:dyDescent="0.25">
      <c r="E762">
        <v>17.500000000000501</v>
      </c>
      <c r="F762">
        <f t="shared" si="12"/>
        <v>0.77499999999997493</v>
      </c>
    </row>
    <row r="763" spans="5:6" x14ac:dyDescent="0.25">
      <c r="E763">
        <v>17.550000000000502</v>
      </c>
      <c r="F763">
        <f t="shared" si="12"/>
        <v>0.77249999999997487</v>
      </c>
    </row>
    <row r="764" spans="5:6" x14ac:dyDescent="0.25">
      <c r="E764">
        <v>17.600000000000499</v>
      </c>
      <c r="F764">
        <f t="shared" si="12"/>
        <v>0.76999999999997493</v>
      </c>
    </row>
    <row r="765" spans="5:6" x14ac:dyDescent="0.25">
      <c r="E765">
        <v>17.6500000000005</v>
      </c>
      <c r="F765">
        <f t="shared" si="12"/>
        <v>0.76749999999997487</v>
      </c>
    </row>
    <row r="766" spans="5:6" x14ac:dyDescent="0.25">
      <c r="E766">
        <v>17.7000000000005</v>
      </c>
      <c r="F766">
        <f t="shared" si="12"/>
        <v>0.76499999999997492</v>
      </c>
    </row>
    <row r="767" spans="5:6" x14ac:dyDescent="0.25">
      <c r="E767">
        <v>17.750000000000501</v>
      </c>
      <c r="F767">
        <f t="shared" si="12"/>
        <v>0.76249999999997486</v>
      </c>
    </row>
    <row r="768" spans="5:6" x14ac:dyDescent="0.25">
      <c r="E768">
        <v>17.800000000000502</v>
      </c>
      <c r="F768">
        <f t="shared" si="12"/>
        <v>0.75999999999997492</v>
      </c>
    </row>
    <row r="769" spans="5:6" x14ac:dyDescent="0.25">
      <c r="E769">
        <v>17.850000000000499</v>
      </c>
      <c r="F769">
        <f t="shared" si="12"/>
        <v>0.75749999999997486</v>
      </c>
    </row>
    <row r="770" spans="5:6" x14ac:dyDescent="0.25">
      <c r="E770">
        <v>17.9000000000005</v>
      </c>
      <c r="F770">
        <f t="shared" si="12"/>
        <v>0.75499999999997491</v>
      </c>
    </row>
    <row r="771" spans="5:6" x14ac:dyDescent="0.25">
      <c r="E771">
        <v>17.9500000000005</v>
      </c>
      <c r="F771">
        <f t="shared" si="12"/>
        <v>0.75249999999997486</v>
      </c>
    </row>
    <row r="772" spans="5:6" x14ac:dyDescent="0.25">
      <c r="E772">
        <v>18.000000000000501</v>
      </c>
      <c r="F772">
        <f t="shared" si="12"/>
        <v>0.74999999999997491</v>
      </c>
    </row>
    <row r="773" spans="5:6" x14ac:dyDescent="0.25">
      <c r="E773">
        <v>18.050000000000502</v>
      </c>
      <c r="F773">
        <f t="shared" si="12"/>
        <v>0.74749999999997485</v>
      </c>
    </row>
    <row r="774" spans="5:6" x14ac:dyDescent="0.25">
      <c r="E774">
        <v>18.100000000000499</v>
      </c>
      <c r="F774">
        <f t="shared" si="12"/>
        <v>0.7449999999999749</v>
      </c>
    </row>
    <row r="775" spans="5:6" x14ac:dyDescent="0.25">
      <c r="E775">
        <v>18.1500000000005</v>
      </c>
      <c r="F775">
        <f t="shared" si="12"/>
        <v>0.74249999999997485</v>
      </c>
    </row>
    <row r="776" spans="5:6" x14ac:dyDescent="0.25">
      <c r="E776">
        <v>18.2000000000005</v>
      </c>
      <c r="F776">
        <f t="shared" si="12"/>
        <v>0.7399999999999749</v>
      </c>
    </row>
    <row r="777" spans="5:6" x14ac:dyDescent="0.25">
      <c r="E777">
        <v>18.250000000000501</v>
      </c>
      <c r="F777">
        <f t="shared" si="12"/>
        <v>0.73749999999997484</v>
      </c>
    </row>
    <row r="778" spans="5:6" x14ac:dyDescent="0.25">
      <c r="E778">
        <v>18.300000000000502</v>
      </c>
      <c r="F778">
        <f t="shared" si="12"/>
        <v>0.7349999999999749</v>
      </c>
    </row>
    <row r="779" spans="5:6" x14ac:dyDescent="0.25">
      <c r="E779">
        <v>18.350000000000499</v>
      </c>
      <c r="F779">
        <f t="shared" si="12"/>
        <v>0.73249999999997484</v>
      </c>
    </row>
    <row r="780" spans="5:6" x14ac:dyDescent="0.25">
      <c r="E780">
        <v>18.4000000000005</v>
      </c>
      <c r="F780">
        <f t="shared" si="12"/>
        <v>0.72999999999997489</v>
      </c>
    </row>
    <row r="781" spans="5:6" x14ac:dyDescent="0.25">
      <c r="E781">
        <v>18.4500000000005</v>
      </c>
      <c r="F781">
        <f t="shared" ref="F781:F816" si="13">-(E781*$B$16*$B$13-3.3/2)</f>
        <v>0.72749999999997483</v>
      </c>
    </row>
    <row r="782" spans="5:6" x14ac:dyDescent="0.25">
      <c r="E782">
        <v>18.500000000000501</v>
      </c>
      <c r="F782">
        <f t="shared" si="13"/>
        <v>0.72499999999997489</v>
      </c>
    </row>
    <row r="783" spans="5:6" x14ac:dyDescent="0.25">
      <c r="E783">
        <v>18.550000000000601</v>
      </c>
      <c r="F783">
        <f t="shared" si="13"/>
        <v>0.72249999999996972</v>
      </c>
    </row>
    <row r="784" spans="5:6" x14ac:dyDescent="0.25">
      <c r="E784">
        <v>18.600000000000499</v>
      </c>
      <c r="F784">
        <f t="shared" si="13"/>
        <v>0.71999999999997488</v>
      </c>
    </row>
    <row r="785" spans="5:6" x14ac:dyDescent="0.25">
      <c r="E785">
        <v>18.6500000000005</v>
      </c>
      <c r="F785">
        <f t="shared" si="13"/>
        <v>0.71749999999997494</v>
      </c>
    </row>
    <row r="786" spans="5:6" x14ac:dyDescent="0.25">
      <c r="E786">
        <v>18.7000000000005</v>
      </c>
      <c r="F786">
        <f t="shared" si="13"/>
        <v>0.71499999999997488</v>
      </c>
    </row>
    <row r="787" spans="5:6" x14ac:dyDescent="0.25">
      <c r="E787">
        <v>18.7500000000006</v>
      </c>
      <c r="F787">
        <f t="shared" si="13"/>
        <v>0.71249999999996994</v>
      </c>
    </row>
    <row r="788" spans="5:6" x14ac:dyDescent="0.25">
      <c r="E788">
        <v>18.800000000000601</v>
      </c>
      <c r="F788">
        <f t="shared" si="13"/>
        <v>0.70999999999996977</v>
      </c>
    </row>
    <row r="789" spans="5:6" x14ac:dyDescent="0.25">
      <c r="E789">
        <v>18.850000000000499</v>
      </c>
      <c r="F789">
        <f t="shared" si="13"/>
        <v>0.70749999999997493</v>
      </c>
    </row>
    <row r="790" spans="5:6" x14ac:dyDescent="0.25">
      <c r="E790">
        <v>18.900000000000599</v>
      </c>
      <c r="F790">
        <f t="shared" si="13"/>
        <v>0.70499999999996987</v>
      </c>
    </row>
    <row r="791" spans="5:6" x14ac:dyDescent="0.25">
      <c r="E791">
        <v>18.9500000000006</v>
      </c>
      <c r="F791">
        <f t="shared" si="13"/>
        <v>0.70249999999996993</v>
      </c>
    </row>
    <row r="792" spans="5:6" x14ac:dyDescent="0.25">
      <c r="E792">
        <v>19.0000000000006</v>
      </c>
      <c r="F792">
        <f t="shared" si="13"/>
        <v>0.69999999999996987</v>
      </c>
    </row>
    <row r="793" spans="5:6" x14ac:dyDescent="0.25">
      <c r="E793">
        <v>19.050000000000601</v>
      </c>
      <c r="F793">
        <f t="shared" si="13"/>
        <v>0.69749999999996981</v>
      </c>
    </row>
    <row r="794" spans="5:6" x14ac:dyDescent="0.25">
      <c r="E794">
        <v>19.100000000000598</v>
      </c>
      <c r="F794">
        <f t="shared" si="13"/>
        <v>0.69499999999997009</v>
      </c>
    </row>
    <row r="795" spans="5:6" x14ac:dyDescent="0.25">
      <c r="E795">
        <v>19.150000000000599</v>
      </c>
      <c r="F795">
        <f t="shared" si="13"/>
        <v>0.69249999999996992</v>
      </c>
    </row>
    <row r="796" spans="5:6" x14ac:dyDescent="0.25">
      <c r="E796">
        <v>19.2000000000006</v>
      </c>
      <c r="F796">
        <f t="shared" si="13"/>
        <v>0.68999999999996986</v>
      </c>
    </row>
    <row r="797" spans="5:6" x14ac:dyDescent="0.25">
      <c r="E797">
        <v>19.2500000000006</v>
      </c>
      <c r="F797">
        <f t="shared" si="13"/>
        <v>0.68749999999996991</v>
      </c>
    </row>
    <row r="798" spans="5:6" x14ac:dyDescent="0.25">
      <c r="E798">
        <v>19.300000000000601</v>
      </c>
      <c r="F798">
        <f t="shared" si="13"/>
        <v>0.68499999999996974</v>
      </c>
    </row>
    <row r="799" spans="5:6" x14ac:dyDescent="0.25">
      <c r="E799">
        <v>19.350000000000598</v>
      </c>
      <c r="F799">
        <f t="shared" si="13"/>
        <v>0.68249999999997002</v>
      </c>
    </row>
    <row r="800" spans="5:6" x14ac:dyDescent="0.25">
      <c r="E800">
        <v>19.400000000000599</v>
      </c>
      <c r="F800">
        <f t="shared" si="13"/>
        <v>0.67999999999996985</v>
      </c>
    </row>
    <row r="801" spans="5:6" x14ac:dyDescent="0.25">
      <c r="E801">
        <v>19.4500000000006</v>
      </c>
      <c r="F801">
        <f t="shared" si="13"/>
        <v>0.6774999999999699</v>
      </c>
    </row>
    <row r="802" spans="5:6" x14ac:dyDescent="0.25">
      <c r="E802">
        <v>19.5000000000006</v>
      </c>
      <c r="F802">
        <f t="shared" si="13"/>
        <v>0.67499999999996996</v>
      </c>
    </row>
    <row r="803" spans="5:6" x14ac:dyDescent="0.25">
      <c r="E803">
        <v>19.550000000000601</v>
      </c>
      <c r="F803">
        <f t="shared" si="13"/>
        <v>0.67249999999996979</v>
      </c>
    </row>
    <row r="804" spans="5:6" x14ac:dyDescent="0.25">
      <c r="E804">
        <v>19.600000000000598</v>
      </c>
      <c r="F804">
        <f t="shared" si="13"/>
        <v>0.66999999999997006</v>
      </c>
    </row>
    <row r="805" spans="5:6" x14ac:dyDescent="0.25">
      <c r="E805">
        <v>19.650000000000599</v>
      </c>
      <c r="F805">
        <f t="shared" si="13"/>
        <v>0.6674999999999699</v>
      </c>
    </row>
    <row r="806" spans="5:6" x14ac:dyDescent="0.25">
      <c r="E806">
        <v>19.7000000000006</v>
      </c>
      <c r="F806">
        <f t="shared" si="13"/>
        <v>0.66499999999996995</v>
      </c>
    </row>
    <row r="807" spans="5:6" x14ac:dyDescent="0.25">
      <c r="E807">
        <v>19.7500000000006</v>
      </c>
      <c r="F807">
        <f t="shared" si="13"/>
        <v>0.66249999999996989</v>
      </c>
    </row>
    <row r="808" spans="5:6" x14ac:dyDescent="0.25">
      <c r="E808">
        <v>19.800000000000601</v>
      </c>
      <c r="F808">
        <f t="shared" si="13"/>
        <v>0.65999999999996972</v>
      </c>
    </row>
    <row r="809" spans="5:6" x14ac:dyDescent="0.25">
      <c r="E809">
        <v>19.850000000000598</v>
      </c>
      <c r="F809">
        <f t="shared" si="13"/>
        <v>0.65749999999997</v>
      </c>
    </row>
    <row r="810" spans="5:6" x14ac:dyDescent="0.25">
      <c r="E810">
        <v>19.900000000000599</v>
      </c>
      <c r="F810">
        <f t="shared" si="13"/>
        <v>0.65499999999996994</v>
      </c>
    </row>
    <row r="811" spans="5:6" x14ac:dyDescent="0.25">
      <c r="E811">
        <v>19.9500000000006</v>
      </c>
      <c r="F811">
        <f t="shared" si="13"/>
        <v>0.65249999999996988</v>
      </c>
    </row>
    <row r="812" spans="5:6" x14ac:dyDescent="0.25">
      <c r="E812">
        <v>20.0000000000006</v>
      </c>
      <c r="F812">
        <f t="shared" si="13"/>
        <v>0.64999999999996994</v>
      </c>
    </row>
    <row r="813" spans="5:6" x14ac:dyDescent="0.25">
      <c r="E813">
        <v>20.050000000000601</v>
      </c>
      <c r="F813">
        <f t="shared" si="13"/>
        <v>0.64749999999996977</v>
      </c>
    </row>
    <row r="814" spans="5:6" x14ac:dyDescent="0.25">
      <c r="E814">
        <v>20.100000000000598</v>
      </c>
      <c r="F814">
        <f t="shared" si="13"/>
        <v>0.64499999999997004</v>
      </c>
    </row>
    <row r="815" spans="5:6" x14ac:dyDescent="0.25">
      <c r="E815">
        <v>20.150000000000599</v>
      </c>
      <c r="F815">
        <f t="shared" si="13"/>
        <v>0.64249999999996987</v>
      </c>
    </row>
    <row r="816" spans="5:6" x14ac:dyDescent="0.25">
      <c r="E816">
        <v>20.2000000000006</v>
      </c>
      <c r="F816">
        <f t="shared" si="13"/>
        <v>0.63999999999996993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4B3A-5996-4225-AAD3-3A12E99682F8}">
  <dimension ref="B2:P22"/>
  <sheetViews>
    <sheetView workbookViewId="0">
      <selection activeCell="I15" sqref="I15"/>
    </sheetView>
  </sheetViews>
  <sheetFormatPr defaultRowHeight="15" x14ac:dyDescent="0.25"/>
  <cols>
    <col min="3" max="3" width="16.28515625" customWidth="1"/>
    <col min="11" max="11" width="14.140625" bestFit="1" customWidth="1"/>
  </cols>
  <sheetData>
    <row r="2" spans="2:16" x14ac:dyDescent="0.25">
      <c r="B2" s="20" t="s">
        <v>61</v>
      </c>
    </row>
    <row r="3" spans="2:16" x14ac:dyDescent="0.25">
      <c r="B3" t="s">
        <v>60</v>
      </c>
    </row>
    <row r="6" spans="2:16" x14ac:dyDescent="0.25">
      <c r="B6" s="20" t="s">
        <v>64</v>
      </c>
    </row>
    <row r="7" spans="2:16" x14ac:dyDescent="0.25">
      <c r="B7" t="s">
        <v>62</v>
      </c>
    </row>
    <row r="8" spans="2:16" x14ac:dyDescent="0.25">
      <c r="B8" s="21" t="s">
        <v>63</v>
      </c>
    </row>
    <row r="9" spans="2:16" x14ac:dyDescent="0.25">
      <c r="B9" s="22"/>
    </row>
    <row r="11" spans="2:16" x14ac:dyDescent="0.25">
      <c r="B11" s="24" t="s">
        <v>65</v>
      </c>
      <c r="C11" s="25">
        <v>1</v>
      </c>
      <c r="D11" s="26" t="s">
        <v>77</v>
      </c>
      <c r="F11" s="24" t="s">
        <v>72</v>
      </c>
      <c r="G11" s="25">
        <v>0.8</v>
      </c>
      <c r="H11" s="26" t="s">
        <v>75</v>
      </c>
      <c r="J11" s="24" t="s">
        <v>80</v>
      </c>
      <c r="K11" s="28">
        <f>C18</f>
        <v>1.3573232323232325E-5</v>
      </c>
      <c r="L11" s="26" t="s">
        <v>74</v>
      </c>
      <c r="N11" s="24" t="s">
        <v>81</v>
      </c>
      <c r="O11" s="25"/>
      <c r="P11" s="26" t="s">
        <v>76</v>
      </c>
    </row>
    <row r="12" spans="2:16" x14ac:dyDescent="0.25">
      <c r="B12" s="24" t="s">
        <v>66</v>
      </c>
      <c r="C12" s="25">
        <v>5</v>
      </c>
      <c r="D12" s="26" t="s">
        <v>75</v>
      </c>
      <c r="F12" s="24" t="s">
        <v>73</v>
      </c>
      <c r="G12" s="25">
        <v>22100</v>
      </c>
      <c r="H12" s="26" t="s">
        <v>76</v>
      </c>
      <c r="N12" s="24" t="s">
        <v>82</v>
      </c>
      <c r="O12" s="25"/>
      <c r="P12" s="26" t="s">
        <v>76</v>
      </c>
    </row>
    <row r="13" spans="2:16" x14ac:dyDescent="0.25">
      <c r="B13" s="24" t="s">
        <v>67</v>
      </c>
      <c r="C13" s="25">
        <v>48</v>
      </c>
      <c r="D13" s="26" t="s">
        <v>75</v>
      </c>
    </row>
    <row r="14" spans="2:16" x14ac:dyDescent="0.25">
      <c r="B14" s="24" t="s">
        <v>69</v>
      </c>
      <c r="C14" s="25">
        <v>1100000</v>
      </c>
      <c r="D14" s="26" t="s">
        <v>78</v>
      </c>
    </row>
    <row r="15" spans="2:16" x14ac:dyDescent="0.25">
      <c r="B15" s="24" t="s">
        <v>70</v>
      </c>
      <c r="C15" s="27">
        <v>0.3</v>
      </c>
      <c r="D15" s="25"/>
      <c r="E15" s="23"/>
    </row>
    <row r="18" spans="2:11" x14ac:dyDescent="0.25">
      <c r="B18" s="24" t="s">
        <v>68</v>
      </c>
      <c r="C18" s="25">
        <f>((C13-C12)/(C11*C15))*(C12/(C13*C14))</f>
        <v>1.3573232323232325E-5</v>
      </c>
      <c r="D18" s="26" t="s">
        <v>74</v>
      </c>
      <c r="F18" s="24" t="s">
        <v>71</v>
      </c>
      <c r="G18" s="25">
        <f>((C12-G11)/G11)*G12</f>
        <v>116025</v>
      </c>
      <c r="H18" s="26" t="s">
        <v>76</v>
      </c>
      <c r="J18" s="24" t="s">
        <v>79</v>
      </c>
      <c r="K18" s="29">
        <f>(C12*(C13-C12))/(C13*K11*C14)</f>
        <v>0.3</v>
      </c>
    </row>
    <row r="20" spans="2:11" x14ac:dyDescent="0.25">
      <c r="C20" s="30"/>
    </row>
    <row r="22" spans="2:11" x14ac:dyDescent="0.25">
      <c r="C22" s="1"/>
    </row>
  </sheetData>
  <hyperlinks>
    <hyperlink ref="B8" r:id="rId1" xr:uid="{B85B539A-D2FF-4DB1-BDBA-3E35446DDA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Arkusz1</vt:lpstr>
      <vt:lpstr>temp</vt:lpstr>
      <vt:lpstr>current meas</vt:lpstr>
      <vt:lpstr>buck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PMB</dc:creator>
  <cp:lastModifiedBy>Michal Boguski (259574)</cp:lastModifiedBy>
  <dcterms:created xsi:type="dcterms:W3CDTF">2015-06-05T18:19:34Z</dcterms:created>
  <dcterms:modified xsi:type="dcterms:W3CDTF">2025-04-21T20:45:09Z</dcterms:modified>
</cp:coreProperties>
</file>